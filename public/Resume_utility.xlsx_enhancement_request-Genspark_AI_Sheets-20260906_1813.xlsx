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4A03C1FF-3031-4065-B0C4-2FAFCA1A5CD2}" xr6:coauthVersionLast="47" xr6:coauthVersionMax="47" xr10:uidLastSave="{00000000-0000-0000-0000-000000000000}"/>
  <bookViews>
    <workbookView xWindow="-120" yWindow="-120" windowWidth="24240" windowHeight="13020" tabRatio="500" activeTab="1" xr2:uid="{00000000-000D-0000-FFFF-FFFF00000000}"/>
  </bookViews>
  <sheets>
    <sheet name="OVERVIEW" sheetId="1" r:id="rId1"/>
    <sheet name="JD_INPUT" sheetId="2" r:id="rId2"/>
    <sheet name="AI_SCORE" sheetId="3" r:id="rId3"/>
    <sheet name="TPM_SCORE" sheetId="4" r:id="rId4"/>
    <sheet name="ITDM_SCORE" sheetId="5" r:id="rId5"/>
    <sheet name="PM_SCORE" sheetId="6" r:id="rId6"/>
    <sheet name="KEYWORDS" sheetId="7" r:id="rId7"/>
    <sheet name="FINAL_RECOMMENDATION" sheetId="8" r:id="rId8"/>
    <sheet name="BULLET_GENERATOR" sheetId="9" r:id="rId9"/>
  </sheets>
  <calcPr calcId="191029"/>
</workbook>
</file>

<file path=xl/calcChain.xml><?xml version="1.0" encoding="utf-8"?>
<calcChain xmlns="http://schemas.openxmlformats.org/spreadsheetml/2006/main">
  <c r="D65" i="9" l="1"/>
  <c r="A2" i="9"/>
  <c r="B25" i="8"/>
  <c r="C62" i="7"/>
  <c r="C61" i="7"/>
  <c r="C60" i="7"/>
  <c r="C59" i="7"/>
  <c r="C58" i="7"/>
  <c r="C57" i="7"/>
  <c r="C56" i="7"/>
  <c r="C55" i="7"/>
  <c r="C54" i="7"/>
  <c r="C53" i="7"/>
  <c r="C52" i="7"/>
  <c r="C51" i="7"/>
  <c r="C50" i="7"/>
  <c r="C49" i="7"/>
  <c r="C48" i="7"/>
  <c r="C47" i="7"/>
  <c r="C46" i="7"/>
  <c r="C45" i="7"/>
  <c r="C44" i="7"/>
  <c r="C43" i="7"/>
  <c r="C42" i="7"/>
  <c r="C41" i="7"/>
  <c r="C40" i="7"/>
  <c r="C39" i="7"/>
  <c r="C38" i="7"/>
  <c r="C37" i="7"/>
  <c r="C36" i="7"/>
  <c r="C35" i="7"/>
  <c r="C34" i="7"/>
  <c r="C33" i="7"/>
  <c r="C32" i="7"/>
  <c r="C31" i="7"/>
  <c r="C30" i="7"/>
  <c r="C29" i="7"/>
  <c r="C28" i="7"/>
  <c r="C27" i="7"/>
  <c r="C26" i="7"/>
  <c r="C25" i="7"/>
  <c r="C24" i="7"/>
  <c r="C23" i="7"/>
  <c r="C22" i="7"/>
  <c r="C21" i="7"/>
  <c r="C20" i="7"/>
  <c r="C19" i="7"/>
  <c r="C18" i="7"/>
  <c r="C17" i="7"/>
  <c r="C16" i="7"/>
  <c r="C15" i="7"/>
  <c r="C14" i="7"/>
  <c r="C13" i="7"/>
  <c r="C12" i="7"/>
  <c r="C11" i="7"/>
  <c r="C10" i="7"/>
  <c r="C9" i="7"/>
  <c r="C8" i="7"/>
  <c r="C7" i="7"/>
  <c r="C6" i="7"/>
  <c r="C5" i="7"/>
  <c r="C4" i="7"/>
  <c r="C3" i="7"/>
  <c r="B62" i="2"/>
  <c r="B59" i="2"/>
  <c r="B56" i="2"/>
  <c r="B55" i="2"/>
  <c r="B19" i="2"/>
  <c r="A15" i="2"/>
  <c r="B12" i="2"/>
  <c r="D24" i="3" s="1"/>
  <c r="B37" i="8" s="1"/>
  <c r="D31" i="1"/>
  <c r="C31" i="1"/>
  <c r="B31" i="1"/>
  <c r="D30" i="1"/>
  <c r="C30" i="1"/>
  <c r="B30" i="1"/>
  <c r="B20" i="1"/>
  <c r="D16" i="1"/>
  <c r="C16" i="1"/>
  <c r="B16" i="1"/>
  <c r="D12" i="1"/>
  <c r="C12" i="1"/>
  <c r="B12" i="1"/>
  <c r="B8" i="1"/>
  <c r="C11" i="6"/>
  <c r="C16" i="5"/>
  <c r="C5" i="5"/>
  <c r="C18" i="4"/>
  <c r="C14" i="4"/>
  <c r="C10" i="4"/>
  <c r="C6" i="4"/>
  <c r="C11" i="3"/>
  <c r="C15" i="3"/>
  <c r="C7" i="3"/>
  <c r="B18" i="2" l="1"/>
  <c r="D23" i="4"/>
  <c r="C36" i="8" s="1"/>
  <c r="B61" i="2"/>
  <c r="B21" i="2"/>
  <c r="B57" i="2"/>
  <c r="B22" i="2"/>
  <c r="B58" i="2"/>
  <c r="E7" i="9"/>
  <c r="E7" i="3"/>
  <c r="D7" i="9"/>
  <c r="D7" i="3"/>
  <c r="H7" i="3" s="1"/>
  <c r="E15" i="9"/>
  <c r="E15" i="3"/>
  <c r="D15" i="9"/>
  <c r="D15" i="3"/>
  <c r="H15" i="3" s="1"/>
  <c r="E11" i="9"/>
  <c r="D11" i="9"/>
  <c r="E11" i="3"/>
  <c r="D11" i="3"/>
  <c r="H11" i="3" s="1"/>
  <c r="E21" i="9"/>
  <c r="E6" i="4"/>
  <c r="D6" i="4"/>
  <c r="H6" i="4" s="1"/>
  <c r="D21" i="9"/>
  <c r="E25" i="9"/>
  <c r="D25" i="9"/>
  <c r="E10" i="4"/>
  <c r="D10" i="4"/>
  <c r="H10" i="4" s="1"/>
  <c r="E29" i="9"/>
  <c r="E14" i="4"/>
  <c r="D14" i="4"/>
  <c r="H14" i="4" s="1"/>
  <c r="D29" i="9"/>
  <c r="E33" i="9"/>
  <c r="D33" i="9"/>
  <c r="E18" i="4"/>
  <c r="D18" i="4"/>
  <c r="H18" i="4" s="1"/>
  <c r="E35" i="9"/>
  <c r="D35" i="9"/>
  <c r="E5" i="5"/>
  <c r="D5" i="5"/>
  <c r="H5" i="5" s="1"/>
  <c r="E46" i="9"/>
  <c r="D46" i="9"/>
  <c r="E16" i="5"/>
  <c r="D16" i="5"/>
  <c r="H16" i="5" s="1"/>
  <c r="E56" i="9"/>
  <c r="D56" i="9"/>
  <c r="E11" i="6"/>
  <c r="D11" i="6"/>
  <c r="H11" i="6" s="1"/>
  <c r="D23" i="6"/>
  <c r="E36" i="8" s="1"/>
  <c r="D24" i="5"/>
  <c r="D37" i="8" s="1"/>
  <c r="D22" i="6"/>
  <c r="E35" i="8" s="1"/>
  <c r="D23" i="5"/>
  <c r="D36" i="8" s="1"/>
  <c r="B20" i="2"/>
  <c r="B60" i="2"/>
  <c r="D24" i="4"/>
  <c r="C37" i="8" s="1"/>
  <c r="D22" i="5"/>
  <c r="D35" i="8" s="1"/>
  <c r="D22" i="3"/>
  <c r="B35" i="8" s="1"/>
  <c r="D23" i="3"/>
  <c r="B36" i="8" s="1"/>
  <c r="D22" i="4"/>
  <c r="C35" i="8" s="1"/>
  <c r="D24" i="6"/>
  <c r="E37" i="8" s="1"/>
  <c r="C14" i="6"/>
  <c r="C15" i="5"/>
  <c r="C13" i="6"/>
  <c r="C18" i="5"/>
  <c r="C12" i="6"/>
  <c r="C16" i="3"/>
  <c r="C15" i="6"/>
  <c r="C17" i="3"/>
  <c r="C12" i="4"/>
  <c r="C9" i="5"/>
  <c r="C14" i="3"/>
  <c r="C9" i="4"/>
  <c r="C4" i="5"/>
  <c r="C10" i="6"/>
  <c r="C11" i="5"/>
  <c r="C9" i="6"/>
  <c r="C14" i="5"/>
  <c r="C8" i="6"/>
  <c r="C4" i="3"/>
  <c r="C7" i="4"/>
  <c r="C6" i="5"/>
  <c r="C5" i="3"/>
  <c r="C16" i="4"/>
  <c r="C12" i="5"/>
  <c r="C18" i="3"/>
  <c r="C13" i="4"/>
  <c r="C17" i="5"/>
  <c r="C6" i="6"/>
  <c r="C5" i="6"/>
  <c r="C10" i="5"/>
  <c r="C4" i="6"/>
  <c r="C8" i="3"/>
  <c r="C11" i="4"/>
  <c r="C13" i="5"/>
  <c r="C9" i="3"/>
  <c r="C4" i="4"/>
  <c r="C7" i="5"/>
  <c r="C6" i="3"/>
  <c r="C17" i="4"/>
  <c r="C7" i="6"/>
  <c r="C18" i="6"/>
  <c r="C17" i="6"/>
  <c r="C16" i="6"/>
  <c r="C12" i="3"/>
  <c r="C15" i="4"/>
  <c r="C13" i="3"/>
  <c r="C8" i="4"/>
  <c r="C8" i="5"/>
  <c r="C10" i="3"/>
  <c r="C5" i="4"/>
  <c r="G14" i="4" l="1"/>
  <c r="G10" i="4"/>
  <c r="G16" i="5"/>
  <c r="G11" i="3"/>
  <c r="E20" i="9"/>
  <c r="D20" i="9"/>
  <c r="G5" i="4"/>
  <c r="E5" i="4"/>
  <c r="D5" i="4"/>
  <c r="H5" i="4" s="1"/>
  <c r="E10" i="9"/>
  <c r="D10" i="9"/>
  <c r="G10" i="3"/>
  <c r="E10" i="3"/>
  <c r="D10" i="3"/>
  <c r="H10" i="3" s="1"/>
  <c r="E38" i="9"/>
  <c r="D38" i="9"/>
  <c r="E8" i="5"/>
  <c r="D8" i="5"/>
  <c r="H8" i="5" s="1"/>
  <c r="G8" i="5"/>
  <c r="E23" i="9"/>
  <c r="D8" i="4"/>
  <c r="H8" i="4" s="1"/>
  <c r="D23" i="9"/>
  <c r="G8" i="4"/>
  <c r="E8" i="4"/>
  <c r="E13" i="9"/>
  <c r="D13" i="3"/>
  <c r="H13" i="3" s="1"/>
  <c r="G13" i="3"/>
  <c r="D13" i="9"/>
  <c r="E13" i="3"/>
  <c r="E30" i="9"/>
  <c r="D30" i="9"/>
  <c r="E15" i="4"/>
  <c r="D15" i="4"/>
  <c r="H15" i="4" s="1"/>
  <c r="G15" i="4"/>
  <c r="E12" i="9"/>
  <c r="D12" i="9"/>
  <c r="E12" i="3"/>
  <c r="D12" i="3"/>
  <c r="H12" i="3" s="1"/>
  <c r="G12" i="3"/>
  <c r="E16" i="6"/>
  <c r="D16" i="6"/>
  <c r="H16" i="6" s="1"/>
  <c r="E61" i="9"/>
  <c r="G16" i="6"/>
  <c r="D61" i="9"/>
  <c r="E62" i="9"/>
  <c r="D17" i="6"/>
  <c r="H17" i="6" s="1"/>
  <c r="D62" i="9"/>
  <c r="G17" i="6"/>
  <c r="E17" i="6"/>
  <c r="G18" i="6"/>
  <c r="E63" i="9"/>
  <c r="E18" i="6"/>
  <c r="D63" i="9"/>
  <c r="D18" i="6"/>
  <c r="H18" i="6" s="1"/>
  <c r="E52" i="9"/>
  <c r="G7" i="6"/>
  <c r="D52" i="9"/>
  <c r="E7" i="6"/>
  <c r="D7" i="6"/>
  <c r="H7" i="6" s="1"/>
  <c r="E32" i="9"/>
  <c r="D32" i="9"/>
  <c r="G17" i="4"/>
  <c r="E17" i="4"/>
  <c r="D17" i="4"/>
  <c r="H17" i="4" s="1"/>
  <c r="E6" i="9"/>
  <c r="D6" i="9"/>
  <c r="G6" i="3"/>
  <c r="E6" i="3"/>
  <c r="D6" i="3"/>
  <c r="H6" i="3" s="1"/>
  <c r="G7" i="5"/>
  <c r="E37" i="9"/>
  <c r="D7" i="5"/>
  <c r="H7" i="5" s="1"/>
  <c r="D37" i="9"/>
  <c r="E7" i="5"/>
  <c r="E19" i="9"/>
  <c r="D19" i="9"/>
  <c r="D4" i="4"/>
  <c r="G4" i="4"/>
  <c r="E4" i="4"/>
  <c r="G6" i="4"/>
  <c r="G18" i="4"/>
  <c r="E9" i="9"/>
  <c r="D9" i="3"/>
  <c r="H9" i="3" s="1"/>
  <c r="D9" i="9"/>
  <c r="G9" i="3"/>
  <c r="E9" i="3"/>
  <c r="E13" i="5"/>
  <c r="D13" i="5"/>
  <c r="H13" i="5" s="1"/>
  <c r="E43" i="9"/>
  <c r="D43" i="9"/>
  <c r="G13" i="5"/>
  <c r="E26" i="9"/>
  <c r="D26" i="9"/>
  <c r="E11" i="4"/>
  <c r="D11" i="4"/>
  <c r="H11" i="4" s="1"/>
  <c r="G11" i="4"/>
  <c r="E8" i="9"/>
  <c r="D8" i="9"/>
  <c r="E8" i="3"/>
  <c r="D8" i="3"/>
  <c r="H8" i="3" s="1"/>
  <c r="G8" i="3"/>
  <c r="E4" i="6"/>
  <c r="D4" i="6"/>
  <c r="E49" i="9"/>
  <c r="D49" i="9"/>
  <c r="G4" i="6"/>
  <c r="G11" i="6"/>
  <c r="E40" i="9"/>
  <c r="D10" i="5"/>
  <c r="H10" i="5" s="1"/>
  <c r="D40" i="9"/>
  <c r="G10" i="5"/>
  <c r="E10" i="5"/>
  <c r="E50" i="9"/>
  <c r="D5" i="6"/>
  <c r="H5" i="6" s="1"/>
  <c r="D50" i="9"/>
  <c r="G5" i="6"/>
  <c r="E5" i="6"/>
  <c r="G6" i="6"/>
  <c r="E51" i="9"/>
  <c r="E6" i="6"/>
  <c r="D51" i="9"/>
  <c r="D6" i="6"/>
  <c r="H6" i="6" s="1"/>
  <c r="E17" i="5"/>
  <c r="D17" i="5"/>
  <c r="H17" i="5" s="1"/>
  <c r="E47" i="9"/>
  <c r="D47" i="9"/>
  <c r="G17" i="5"/>
  <c r="E28" i="9"/>
  <c r="D28" i="9"/>
  <c r="G13" i="4"/>
  <c r="E13" i="4"/>
  <c r="D13" i="4"/>
  <c r="H13" i="4" s="1"/>
  <c r="E18" i="9"/>
  <c r="D18" i="9"/>
  <c r="G18" i="3"/>
  <c r="E18" i="3"/>
  <c r="D18" i="3"/>
  <c r="H18" i="3" s="1"/>
  <c r="E42" i="9"/>
  <c r="G12" i="5"/>
  <c r="D42" i="9"/>
  <c r="E12" i="5"/>
  <c r="D12" i="5"/>
  <c r="H12" i="5" s="1"/>
  <c r="E31" i="9"/>
  <c r="D16" i="4"/>
  <c r="H16" i="4" s="1"/>
  <c r="D31" i="9"/>
  <c r="G16" i="4"/>
  <c r="E16" i="4"/>
  <c r="E5" i="9"/>
  <c r="D5" i="3"/>
  <c r="H5" i="3" s="1"/>
  <c r="G5" i="3"/>
  <c r="D5" i="9"/>
  <c r="E5" i="3"/>
  <c r="E36" i="9"/>
  <c r="D36" i="9"/>
  <c r="E6" i="5"/>
  <c r="D6" i="5"/>
  <c r="H6" i="5" s="1"/>
  <c r="G6" i="5"/>
  <c r="E22" i="9"/>
  <c r="D22" i="9"/>
  <c r="E7" i="4"/>
  <c r="D7" i="4"/>
  <c r="H7" i="4" s="1"/>
  <c r="G7" i="4"/>
  <c r="E4" i="9"/>
  <c r="D4" i="9"/>
  <c r="E4" i="3"/>
  <c r="D4" i="3"/>
  <c r="G4" i="3"/>
  <c r="G7" i="3"/>
  <c r="G15" i="3"/>
  <c r="E8" i="6"/>
  <c r="D8" i="6"/>
  <c r="H8" i="6" s="1"/>
  <c r="E53" i="9"/>
  <c r="G8" i="6"/>
  <c r="D53" i="9"/>
  <c r="E44" i="9"/>
  <c r="D14" i="5"/>
  <c r="H14" i="5" s="1"/>
  <c r="D44" i="9"/>
  <c r="G14" i="5"/>
  <c r="E14" i="5"/>
  <c r="E54" i="9"/>
  <c r="D9" i="6"/>
  <c r="H9" i="6" s="1"/>
  <c r="D54" i="9"/>
  <c r="G9" i="6"/>
  <c r="E9" i="6"/>
  <c r="G11" i="5"/>
  <c r="E41" i="9"/>
  <c r="D41" i="9"/>
  <c r="E11" i="5"/>
  <c r="D11" i="5"/>
  <c r="H11" i="5" s="1"/>
  <c r="G10" i="6"/>
  <c r="E55" i="9"/>
  <c r="E10" i="6"/>
  <c r="D10" i="6"/>
  <c r="H10" i="6" s="1"/>
  <c r="D55" i="9"/>
  <c r="E34" i="9"/>
  <c r="D34" i="9"/>
  <c r="G4" i="5"/>
  <c r="E4" i="5"/>
  <c r="D4" i="5"/>
  <c r="G5" i="5"/>
  <c r="E24" i="9"/>
  <c r="D24" i="9"/>
  <c r="G9" i="4"/>
  <c r="E9" i="4"/>
  <c r="D9" i="4"/>
  <c r="H9" i="4" s="1"/>
  <c r="E14" i="9"/>
  <c r="D14" i="9"/>
  <c r="G14" i="3"/>
  <c r="E14" i="3"/>
  <c r="D14" i="3"/>
  <c r="H14" i="3" s="1"/>
  <c r="D9" i="5"/>
  <c r="H9" i="5" s="1"/>
  <c r="E39" i="9"/>
  <c r="E9" i="5"/>
  <c r="D39" i="9"/>
  <c r="G9" i="5"/>
  <c r="E27" i="9"/>
  <c r="D27" i="9"/>
  <c r="D12" i="4"/>
  <c r="H12" i="4" s="1"/>
  <c r="G12" i="4"/>
  <c r="E12" i="4"/>
  <c r="E17" i="9"/>
  <c r="D17" i="3"/>
  <c r="H17" i="3" s="1"/>
  <c r="D17" i="9"/>
  <c r="G17" i="3"/>
  <c r="E17" i="3"/>
  <c r="E60" i="9"/>
  <c r="G15" i="6"/>
  <c r="D60" i="9"/>
  <c r="E15" i="6"/>
  <c r="D15" i="6"/>
  <c r="H15" i="6" s="1"/>
  <c r="E16" i="9"/>
  <c r="D16" i="9"/>
  <c r="E16" i="3"/>
  <c r="D16" i="3"/>
  <c r="H16" i="3" s="1"/>
  <c r="G16" i="3"/>
  <c r="E12" i="6"/>
  <c r="D12" i="6"/>
  <c r="H12" i="6" s="1"/>
  <c r="E57" i="9"/>
  <c r="D57" i="9"/>
  <c r="G12" i="6"/>
  <c r="E48" i="9"/>
  <c r="D18" i="5"/>
  <c r="H18" i="5" s="1"/>
  <c r="D48" i="9"/>
  <c r="G18" i="5"/>
  <c r="E18" i="5"/>
  <c r="E58" i="9"/>
  <c r="D13" i="6"/>
  <c r="H13" i="6" s="1"/>
  <c r="D58" i="9"/>
  <c r="G13" i="6"/>
  <c r="E13" i="6"/>
  <c r="G15" i="5"/>
  <c r="E45" i="9"/>
  <c r="E15" i="5"/>
  <c r="D15" i="5"/>
  <c r="H15" i="5" s="1"/>
  <c r="D45" i="9"/>
  <c r="G14" i="6"/>
  <c r="E59" i="9"/>
  <c r="E14" i="6"/>
  <c r="D59" i="9"/>
  <c r="D14" i="6"/>
  <c r="H14" i="6" s="1"/>
  <c r="D19" i="5" l="1"/>
  <c r="H4" i="5"/>
  <c r="B36" i="3"/>
  <c r="B35" i="3"/>
  <c r="B34" i="3"/>
  <c r="B33" i="3"/>
  <c r="B32" i="3"/>
  <c r="B65" i="9"/>
  <c r="B52" i="2"/>
  <c r="H4" i="6"/>
  <c r="D19" i="6"/>
  <c r="H4" i="3"/>
  <c r="D19" i="3"/>
  <c r="B35" i="6"/>
  <c r="B34" i="6"/>
  <c r="B33" i="6"/>
  <c r="B36" i="6"/>
  <c r="B32" i="6"/>
  <c r="B36" i="4"/>
  <c r="B35" i="4"/>
  <c r="B34" i="4"/>
  <c r="B33" i="4"/>
  <c r="B32" i="4"/>
  <c r="B36" i="5"/>
  <c r="B34" i="5"/>
  <c r="B32" i="5"/>
  <c r="B35" i="5"/>
  <c r="B33" i="5"/>
  <c r="H4" i="4"/>
  <c r="D19" i="4"/>
  <c r="C35" i="3" l="1"/>
  <c r="D35" i="3" s="1"/>
  <c r="E35" i="3"/>
  <c r="C34" i="5"/>
  <c r="D34" i="5" s="1"/>
  <c r="E34" i="5"/>
  <c r="E36" i="6"/>
  <c r="C36" i="6"/>
  <c r="D36" i="6" s="1"/>
  <c r="C36" i="5"/>
  <c r="D36" i="5" s="1"/>
  <c r="E36" i="5"/>
  <c r="E32" i="4"/>
  <c r="C32" i="4"/>
  <c r="D32" i="4" s="1"/>
  <c r="E36" i="4"/>
  <c r="C36" i="4"/>
  <c r="D36" i="4" s="1"/>
  <c r="E34" i="6"/>
  <c r="C34" i="6"/>
  <c r="D34" i="6" s="1"/>
  <c r="D26" i="6"/>
  <c r="H19" i="6"/>
  <c r="E34" i="8"/>
  <c r="C32" i="3"/>
  <c r="D32" i="3" s="1"/>
  <c r="E32" i="3"/>
  <c r="C36" i="3"/>
  <c r="D36" i="3" s="1"/>
  <c r="E36" i="3"/>
  <c r="E34" i="4"/>
  <c r="C34" i="4"/>
  <c r="D34" i="4" s="1"/>
  <c r="B34" i="8"/>
  <c r="D26" i="3"/>
  <c r="H19" i="3"/>
  <c r="C33" i="5"/>
  <c r="D33" i="5" s="1"/>
  <c r="E33" i="5"/>
  <c r="E35" i="4"/>
  <c r="C35" i="4"/>
  <c r="D35" i="4" s="1"/>
  <c r="E33" i="6"/>
  <c r="C33" i="6"/>
  <c r="D33" i="6" s="1"/>
  <c r="C35" i="5"/>
  <c r="D35" i="5" s="1"/>
  <c r="E35" i="5"/>
  <c r="C34" i="8"/>
  <c r="D26" i="4"/>
  <c r="H19" i="4"/>
  <c r="C32" i="5"/>
  <c r="D32" i="5" s="1"/>
  <c r="E32" i="5"/>
  <c r="E33" i="4"/>
  <c r="C33" i="4"/>
  <c r="D33" i="4" s="1"/>
  <c r="E32" i="6"/>
  <c r="C32" i="6"/>
  <c r="D32" i="6" s="1"/>
  <c r="E35" i="6"/>
  <c r="C35" i="6"/>
  <c r="D35" i="6" s="1"/>
  <c r="C33" i="3"/>
  <c r="D33" i="3" s="1"/>
  <c r="E33" i="3"/>
  <c r="C34" i="3"/>
  <c r="D34" i="3" s="1"/>
  <c r="E34" i="3"/>
  <c r="D34" i="8"/>
  <c r="D26" i="5"/>
  <c r="H19" i="5"/>
  <c r="C38" i="8" l="1"/>
  <c r="B5" i="8"/>
  <c r="C5" i="8" s="1"/>
  <c r="B38" i="2"/>
  <c r="B33" i="2"/>
  <c r="D38" i="8"/>
  <c r="B6" i="8"/>
  <c r="C6" i="8" s="1"/>
  <c r="B39" i="2"/>
  <c r="B34" i="2"/>
  <c r="D28" i="6"/>
  <c r="B7" i="8"/>
  <c r="C7" i="8" s="1"/>
  <c r="D27" i="6"/>
  <c r="E38" i="8"/>
  <c r="B40" i="2"/>
  <c r="B35" i="2"/>
  <c r="B38" i="8"/>
  <c r="B4" i="8"/>
  <c r="B26" i="2"/>
  <c r="B63" i="2"/>
  <c r="B37" i="2"/>
  <c r="B32" i="2"/>
  <c r="B25" i="2"/>
  <c r="C4" i="8" l="1"/>
  <c r="A10" i="8"/>
  <c r="E65" i="9"/>
  <c r="B50" i="2"/>
  <c r="B46" i="2"/>
  <c r="B49" i="2"/>
  <c r="B45" i="2"/>
  <c r="B48" i="2"/>
  <c r="B44" i="2"/>
  <c r="B47" i="2"/>
  <c r="B28" i="2"/>
  <c r="B27" i="2"/>
  <c r="B26" i="8" l="1"/>
  <c r="A13" i="8"/>
  <c r="B27" i="8"/>
</calcChain>
</file>

<file path=xl/sharedStrings.xml><?xml version="1.0" encoding="utf-8"?>
<sst xmlns="http://schemas.openxmlformats.org/spreadsheetml/2006/main" count="739" uniqueCount="403">
  <si>
    <t>🎯  JD-TO-RESUME MATCHING UTILITY</t>
  </si>
  <si>
    <t>Automated Job Description analysis across 3 professional tracks</t>
  </si>
  <si>
    <t>AI Transformation  •  Technical Program Manager  •  IT Delivery  •  Product Manager</t>
  </si>
  <si>
    <t>🚀  QUICK START  —  3 Steps to Get Started</t>
  </si>
  <si>
    <t>STEP 1</t>
  </si>
  <si>
    <t>STEP 2</t>
  </si>
  <si>
    <t>STEP 3</t>
  </si>
  <si>
    <t>📋  Go to JD_INPUT</t>
  </si>
  <si>
    <t>📝  Paste JD into B10</t>
  </si>
  <si>
    <t>🎯  See Best Fit at Row 25</t>
  </si>
  <si>
    <t>Ctrl+V works instantly — no manual entry required</t>
  </si>
  <si>
    <t>Score, keywords, bullets all auto-populate</t>
  </si>
  <si>
    <t>🧭  NAVIGATE THE UTILITY  —  Click any card to jump to that sheet</t>
  </si>
  <si>
    <t>📋</t>
  </si>
  <si>
    <t>🤖</t>
  </si>
  <si>
    <t>⚙️</t>
  </si>
  <si>
    <t>Paste JD • See scores • Get recommendations</t>
  </si>
  <si>
    <t>AI Transformation Manager scoring engine</t>
  </si>
  <si>
    <t>Technical Program Manager scoring engine</t>
  </si>
  <si>
    <t>🛠️</t>
  </si>
  <si>
    <t>🔑</t>
  </si>
  <si>
    <t>🏆</t>
  </si>
  <si>
    <t>IT Delivery Manager scoring engine</t>
  </si>
  <si>
    <t>45 keyword synonyms • Tier &amp; Track tagged</t>
  </si>
  <si>
    <t>Final report • Radar chart • Cover letter picker</t>
  </si>
  <si>
    <t>✍️</t>
  </si>
  <si>
    <t>💡</t>
  </si>
  <si>
    <t>PRO TIPS</t>
  </si>
  <si>
    <t>45 pre-written resume bullets — copy-ready</t>
  </si>
  <si>
    <t>Score ≥32 = Strong Match  •  25-31 = Good  •  18-24 = Moderate  •  &lt;18 = Skip</t>
  </si>
  <si>
    <t>📊  SCORING KEY  —  Understand the numbers</t>
  </si>
  <si>
    <t>🟢 STRONG MATCH</t>
  </si>
  <si>
    <t>🔵 GOOD MATCH</t>
  </si>
  <si>
    <t>🟡 MODERATE MATCH</t>
  </si>
  <si>
    <t>Score ≥ 32</t>
  </si>
  <si>
    <t>Score 25 – 31</t>
  </si>
  <si>
    <t>Score 18 – 24</t>
  </si>
  <si>
    <t>Apply with confidence</t>
  </si>
  <si>
    <t>Tailor a few bullets, then apply</t>
  </si>
  <si>
    <t>Significant tailoring needed</t>
  </si>
  <si>
    <t>📎  RESOURCES  —  Resume &amp; Cover Letter Templates</t>
  </si>
  <si>
    <t>AI Transformation</t>
  </si>
  <si>
    <t>Technical Program Mgr</t>
  </si>
  <si>
    <t>IT Delivery Manager</t>
  </si>
  <si>
    <t>Product Manager</t>
  </si>
  <si>
    <t>Resume - (Template TBD)</t>
  </si>
  <si>
    <t>Cover Letter - (Template TBD)</t>
  </si>
  <si>
    <t>PM_SCORE &amp; Bullets 49-63</t>
  </si>
  <si>
    <t>⚡  Auto-scoring active — Paste JD in JD_INPUT!B10 and everything updates instantly</t>
  </si>
  <si>
    <t>Version 2.0  •  8 sheets  •  45 keywords  •  60 bullet templates  •  Radar &amp; Bar charts</t>
  </si>
  <si>
    <t>Job Description Input</t>
  </si>
  <si>
    <t>PASTE JOB DESCRIPTION HERE</t>
  </si>
  <si>
    <t>PASTE FULL JD INTO CELL B10</t>
  </si>
  <si>
    <t>🚀  GET FINAL SUGGESTION  ➜  (Auto-processes when JD is pasted into B10)</t>
  </si>
  <si>
    <t>🔍  AUTO-PARSED JD INSIGHTS</t>
  </si>
  <si>
    <t>📊 Seniority Level Detected</t>
  </si>
  <si>
    <t>💰 Salary Range (parsed)</t>
  </si>
  <si>
    <t>📍 Work Location / Mode</t>
  </si>
  <si>
    <t>🕐 Employment Type</t>
  </si>
  <si>
    <t>🏢 Industry Signals</t>
  </si>
  <si>
    <t>🏆  FINAL RECOMMENDATION  (auto-updates when JD is pasted)</t>
  </si>
  <si>
    <t>🎯 BEST-FIT RESUME</t>
  </si>
  <si>
    <t>Technical Program Manager</t>
  </si>
  <si>
    <t>📈 Best Score &amp; Match Level</t>
  </si>
  <si>
    <t>📄 Recommended Cover Letter</t>
  </si>
  <si>
    <t>🎬 Top Action Before Applying</t>
  </si>
  <si>
    <t>📊  TRACK-BY-TRACK SCORE BREAKDOWN</t>
  </si>
  <si>
    <t>Track</t>
  </si>
  <si>
    <t>Score  |  Match Level  |  Progress Bar (20 chars)</t>
  </si>
  <si>
    <t>🤖 AI Transformation Manager</t>
  </si>
  <si>
    <t>⚙️ Technical Program Manager</t>
  </si>
  <si>
    <t>🛠️ IT Delivery Manager</t>
  </si>
  <si>
    <t>📦 Product Manager</t>
  </si>
  <si>
    <t>🎯  GAP ANALYSIS — Score Delta vs. Best Fit</t>
  </si>
  <si>
    <t>AI vs Best</t>
  </si>
  <si>
    <t>TPM vs Best</t>
  </si>
  <si>
    <t>ITDM vs Best</t>
  </si>
  <si>
    <t>PM vs Best</t>
  </si>
  <si>
    <t>ℹ️ How it works</t>
  </si>
  <si>
    <t>Paste JD into B10 → All 3 track scores update instantly → Best-fit resume appears at row 25 → Radar chart on FINAL_RECOMMENDATION visualizes 3-track comparison. No manual entry required.</t>
  </si>
  <si>
    <t>TOP MISSING KEYWORDS - Best Fit</t>
  </si>
  <si>
    <t>For Best-Fit Track</t>
  </si>
  <si>
    <t>① Missing #1</t>
  </si>
  <si>
    <t>Technical program management</t>
  </si>
  <si>
    <t>② Missing #2</t>
  </si>
  <si>
    <t>Program delivery</t>
  </si>
  <si>
    <t>③ Missing #3</t>
  </si>
  <si>
    <t>Roadmap execution</t>
  </si>
  <si>
    <t>④ Missing #4</t>
  </si>
  <si>
    <t>Change management</t>
  </si>
  <si>
    <t>⑤ Missing #5</t>
  </si>
  <si>
    <t>SDLC / Agile / Waterfall</t>
  </si>
  <si>
    <t>💡 Score Boost</t>
  </si>
  <si>
    <t>✍️ Resume Bullets</t>
  </si>
  <si>
    <t>⚠️  JD QUALITY &amp; ATS WARNINGS  —  Data-quality checks before you trust the score</t>
  </si>
  <si>
    <t>📏 JD Word Count</t>
  </si>
  <si>
    <t>📝 JD Character Count</t>
  </si>
  <si>
    <t>🚩 Technical Red Flags</t>
  </si>
  <si>
    <t>👔 Management Signals</t>
  </si>
  <si>
    <t>📋 JD Metadata Complete</t>
  </si>
  <si>
    <t>📑 JD Structure Quality</t>
  </si>
  <si>
    <t>💰 Salary Transparency</t>
  </si>
  <si>
    <t>🎯 DATA QUALITY CONFIDENCE</t>
  </si>
  <si>
    <t>🚦 SHOULD YOU APPLY?</t>
  </si>
  <si>
    <t>◆  ◆  ◆  END OF DASHBOARD  ◆  ◆  ◆</t>
  </si>
  <si>
    <t>AI Transformation Manager - Scoring</t>
  </si>
  <si>
    <t>Keyword / Theme</t>
  </si>
  <si>
    <t>Weight</t>
  </si>
  <si>
    <t>Auto Score (0,1,2)</t>
  </si>
  <si>
    <t>Weighted Score</t>
  </si>
  <si>
    <t>Notes</t>
  </si>
  <si>
    <t>Contribution</t>
  </si>
  <si>
    <t>AI transformation</t>
  </si>
  <si>
    <t>Digital transformation</t>
  </si>
  <si>
    <t>Generative AI / GenAI</t>
  </si>
  <si>
    <t>Intelligent automation</t>
  </si>
  <si>
    <t>AI adoption / AI strategy</t>
  </si>
  <si>
    <t>Transformation roadmap</t>
  </si>
  <si>
    <t>Enterprise modernization</t>
  </si>
  <si>
    <t>Stakeholder governance</t>
  </si>
  <si>
    <t>CRM transformation</t>
  </si>
  <si>
    <t>Salesforce / Siebel / ServiceNow</t>
  </si>
  <si>
    <t>Cloud migration</t>
  </si>
  <si>
    <t>Process optimization</t>
  </si>
  <si>
    <t>Operating model transformation</t>
  </si>
  <si>
    <t>Cross-functional leadership</t>
  </si>
  <si>
    <t>TOTAL KEYWORD SCORE</t>
  </si>
  <si>
    <t>█████ Strong (4)   ██░░░ Partial (2)   ░░░░░ Missing (0)</t>
  </si>
  <si>
    <t>Additional Scoring Factors (Rate 0-5)</t>
  </si>
  <si>
    <t>Responsibility Pattern Match (0-5)</t>
  </si>
  <si>
    <t>How well does the JD's responsibilities align with AI Transformation role pattern?</t>
  </si>
  <si>
    <t>Company Match (0-5)</t>
  </si>
  <si>
    <t>Is the company AI-focused, transformation-led, or consulting-style?</t>
  </si>
  <si>
    <t>Red Flag Penalty (0-5)</t>
  </si>
  <si>
    <t>Penalty if JD requires deep hands-on ML/data science engineering</t>
  </si>
  <si>
    <t>FINAL SCORE</t>
  </si>
  <si>
    <t>Key Gaps / Suggested Edits</t>
  </si>
  <si>
    <t>TOP MISSING KEYWORDS</t>
  </si>
  <si>
    <t>Rank</t>
  </si>
  <si>
    <t>Missing Keyword</t>
  </si>
  <si>
    <t>Boost</t>
  </si>
  <si>
    <t>Action</t>
  </si>
  <si>
    <t>Technical Program Manager - Scoring</t>
  </si>
  <si>
    <t>Stakeholder management</t>
  </si>
  <si>
    <t>Risk management</t>
  </si>
  <si>
    <t>Dependency management</t>
  </si>
  <si>
    <t>Release management</t>
  </si>
  <si>
    <t>Enterprise systems</t>
  </si>
  <si>
    <t>Datacenter migration</t>
  </si>
  <si>
    <t>High availability / reliability</t>
  </si>
  <si>
    <t>Vendor management</t>
  </si>
  <si>
    <t>How well does the JD align with TPM responsibility pattern (program delivery, governance)?</t>
  </si>
  <si>
    <t>Is the company a product company, GCC, or consulting tech delivery firm?</t>
  </si>
  <si>
    <t>Penalty if JD is mainly operations/support with no program ownership</t>
  </si>
  <si>
    <t>IT Delivery Manager - Scoring</t>
  </si>
  <si>
    <t>IT delivery management</t>
  </si>
  <si>
    <t>Service delivery</t>
  </si>
  <si>
    <t>SLA management</t>
  </si>
  <si>
    <t>Incident management</t>
  </si>
  <si>
    <t>Problem management</t>
  </si>
  <si>
    <t>ITIL</t>
  </si>
  <si>
    <t>ServiceNow</t>
  </si>
  <si>
    <t>Operations management</t>
  </si>
  <si>
    <t>Production support</t>
  </si>
  <si>
    <t>Platform availability / uptime</t>
  </si>
  <si>
    <t>Service improvement</t>
  </si>
  <si>
    <t>CRM support / cloud operations</t>
  </si>
  <si>
    <t>How well does the JD align with IT Delivery / service operations pattern?</t>
  </si>
  <si>
    <t>Is the company an IT services, managed services, or ops-heavy enterprise?</t>
  </si>
  <si>
    <t>Penalty if JD is mainly strategy/innovation/AI vision oriented</t>
  </si>
  <si>
    <t>Product Manager - Scoring</t>
  </si>
  <si>
    <t>Product management</t>
  </si>
  <si>
    <t>Product strategy</t>
  </si>
  <si>
    <t>Product roadmap</t>
  </si>
  <si>
    <t>Customer discovery</t>
  </si>
  <si>
    <t>User research</t>
  </si>
  <si>
    <t>Product analytics</t>
  </si>
  <si>
    <t>A/B testing / experimentation</t>
  </si>
  <si>
    <t>Product-market fit</t>
  </si>
  <si>
    <t>Product launch / go-to-market</t>
  </si>
  <si>
    <t>Stakeholder management (PM)</t>
  </si>
  <si>
    <t>Cross-functional leadership (PM)</t>
  </si>
  <si>
    <t>Data-driven decisions</t>
  </si>
  <si>
    <t>OKRs / KPIs</t>
  </si>
  <si>
    <t>Agile / Scrum (PM)</t>
  </si>
  <si>
    <t>SaaS / B2B product</t>
  </si>
  <si>
    <t>How well does the JD align with Product Management responsibilities?</t>
  </si>
  <si>
    <t>Company/Product Match (0-5)</t>
  </si>
  <si>
    <t>Is the company a product-led SaaS/tech company?</t>
  </si>
  <si>
    <t>Penalty if JD is heavily technical IC or operations-focused</t>
  </si>
  <si>
    <t>MATCH LEVEL</t>
  </si>
  <si>
    <t>SCORE PROGRESS</t>
  </si>
  <si>
    <t>🔑 KEYWORD SYNONYM BANK — Expanded (Tier &amp; Track tagged)</t>
  </si>
  <si>
    <t>Keyword</t>
  </si>
  <si>
    <t>Synonyms</t>
  </si>
  <si>
    <t>Count</t>
  </si>
  <si>
    <t>Weight Tier</t>
  </si>
  <si>
    <t>ai transformation|ai-led|ai driven|enterprise ai|ai modernization|ai adoption|ai enablement|ai-first|ai integration</t>
  </si>
  <si>
    <t>Tier 1</t>
  </si>
  <si>
    <t>AI</t>
  </si>
  <si>
    <t>digital transformation|digital modernization|digitalization|digital change|digital reinvention|business transformation|modernization program</t>
  </si>
  <si>
    <t>Tier 2</t>
  </si>
  <si>
    <t>Generative AI GenAI</t>
  </si>
  <si>
    <t>generative ai|genai|gen-ai|gen ai|llm|llms|large language model|chatgpt|gpt-4|gpt-5|claude|gemini|copilot|foundation model|prompt engineering|rag|retrieval augmented</t>
  </si>
  <si>
    <t>intelligent automation|hyperautomation|rpa|robotic process automation|workflow automation|uipath|blue prism|automation anywhere|process automation</t>
  </si>
  <si>
    <t>AI strategy</t>
  </si>
  <si>
    <t>ai adoption|ai strategy|ai roadmap|ai vision|responsible ai|ai governance|ai ethics|ai policy|ai center of excellence|ai coe</t>
  </si>
  <si>
    <t>transformation roadmap|modernization roadmap|target operating model|strategic roadmap|multi-year roadmap|transformation strategy|program roadmap</t>
  </si>
  <si>
    <t>enterprise modernization|legacy modernization|platform modernization|application modernization|infrastructure modernization|mainframe modernization|technical debt</t>
  </si>
  <si>
    <t>Change management AI</t>
  </si>
  <si>
    <t>change management|organizational change|adoption|change leadership|ocm|prosci|adkar|change adoption|change enablement</t>
  </si>
  <si>
    <t>stakeholder|executive sponsor|governance|steering committee|c-suite|executive|senior leadership|board level|executive stakeholders</t>
  </si>
  <si>
    <t>crm transformation|crm modernization|customer relationship|sales cloud|service cloud|customer experience|cx transformation</t>
  </si>
  <si>
    <t>Tier 3</t>
  </si>
  <si>
    <t>Salesforce Siebel ServiceNow</t>
  </si>
  <si>
    <t>salesforce|siebel|servicenow|sfdc|einstein|dynamics 365|hubspot|marketing cloud</t>
  </si>
  <si>
    <t>Cloud migration AI</t>
  </si>
  <si>
    <t>cloud migration|cloud transition|aws|azure|gcp|google cloud|oci|hybrid cloud|multi-cloud|cloud native|cloud transformation</t>
  </si>
  <si>
    <t>process optimization|process improvement|lean|six sigma|efficiency|process reengineering|process excellence|continuous improvement</t>
  </si>
  <si>
    <t>Operating model</t>
  </si>
  <si>
    <t>operating model|target operating model|business transformation|organizational design|tom|future state</t>
  </si>
  <si>
    <t>Cross functional AI</t>
  </si>
  <si>
    <t>cross-functional|cross functional|matrixed|global teams|multi-disciplinary|cross-team|cross-org|cross-organizational</t>
  </si>
  <si>
    <t>technical program manager|tpm|technical program management|technical pm|senior tpm|principal tpm|staff tpm</t>
  </si>
  <si>
    <t>TPM</t>
  </si>
  <si>
    <t>program delivery|program management|deliver programs|program execution|program leadership|multi-project|portfolio management</t>
  </si>
  <si>
    <t>roadmap|delivery roadmap|execution plan|milestones|milestone tracking|quarterly planning|okrs|kpis|deliverables</t>
  </si>
  <si>
    <t>Cross functional TPM</t>
  </si>
  <si>
    <t>cross-functional|cross functional|matrixed|engineering teams|product teams|design teams|multi-team|multi-disciplinary</t>
  </si>
  <si>
    <t>Stakeholder management TPM</t>
  </si>
  <si>
    <t>stakeholder management|executive stakeholders|senior leadership|stakeholders|business partners|stakeholder engagement|influence without authority</t>
  </si>
  <si>
    <t>risk management|risk mitigation|risk register|risk analysis|risk assessment|raid log|contingency planning|issue management</t>
  </si>
  <si>
    <t>dependencies|dependency management|interdependencies|cross-team dependencies|upstream|downstream|blockers|critical path</t>
  </si>
  <si>
    <t>Change management TPM</t>
  </si>
  <si>
    <t>change management|change control|cab|crb|change advisory board|change request|rfc</t>
  </si>
  <si>
    <t>Release management TPM</t>
  </si>
  <si>
    <t>release management|release planning|release governance|release cycles|deployment|go-live|release train|deployment pipeline</t>
  </si>
  <si>
    <t>SDLC Agile Waterfall</t>
  </si>
  <si>
    <t>sdlc|agile|scrum|waterfall|kanban|safe|scaled agile|sprint|backlog|user story|jira|confluence|retrospective|standup</t>
  </si>
  <si>
    <t>enterprise systems|enterprise platforms|enterprise applications|erp|sap|oracle ebs|workday|peoplesoft</t>
  </si>
  <si>
    <t>Cloud migration TPM</t>
  </si>
  <si>
    <t>cloud migration|cloud transition|aws|azure|gcp|cloud transformation|lift and shift|replatform|refactor</t>
  </si>
  <si>
    <t>datacenter migration|data center migration|datacenter consolidation|infrastructure migration|dc migration|colocation|on-prem to cloud</t>
  </si>
  <si>
    <t>High availability</t>
  </si>
  <si>
    <t>high availability|reliability|uptime|sre|resilience|fault tolerance|disaster recovery|dr|business continuity|bcp</t>
  </si>
  <si>
    <t>vendor management|third-party|third party|supplier management|partner management|outsourcing|sow|statement of work|msa|procurement</t>
  </si>
  <si>
    <t>it delivery|delivery manager|service delivery manager|it delivery management|delivery lead|delivery head|sdm</t>
  </si>
  <si>
    <t>ITDM</t>
  </si>
  <si>
    <t>service delivery|service management|managed services|service operations|service ops|managed service provider|msp</t>
  </si>
  <si>
    <t>sla|service level|service level agreement|slo|kpi|olap|ola|service level objective|availability sla|response time</t>
  </si>
  <si>
    <t>incident management|incident response|major incident|critical incident|mim|p1|p2|sev1|sev-1|war room|incident commander</t>
  </si>
  <si>
    <t>problem management|root cause|rca|root cause analysis|known error|kedb|permanent fix|workaround</t>
  </si>
  <si>
    <t>Change management ITDM</t>
  </si>
  <si>
    <t>change management|change control|cab|crb|change advisory board|change request|rfc|change window</t>
  </si>
  <si>
    <t>Release management ITDM</t>
  </si>
  <si>
    <t>release management|release planning|deployment|release governance|release train|rollback|release cycle</t>
  </si>
  <si>
    <t>itil|itil v4|itil v3|itsm|it service management|service now|servicenow|remedy|bmc</t>
  </si>
  <si>
    <t>ServiceNow ITDM</t>
  </si>
  <si>
    <t>servicenow|snow|service now|snow developer|snow admin|snow itsm|snow itom</t>
  </si>
  <si>
    <t>operations management|it operations|run operations|noc|network operations center|operations leadership|ops manager|head of operations</t>
  </si>
  <si>
    <t>production support|prod support|application support|l2 support|l3 support|tier 2|tier 3|24x7|on-call|oncall|runbook</t>
  </si>
  <si>
    <t>Uptime availability</t>
  </si>
  <si>
    <t>availability|uptime|24x7|business continuity|five nines|99.9|99.99|resilience|zero downtime</t>
  </si>
  <si>
    <t>Stakeholder management ITDM</t>
  </si>
  <si>
    <t>stakeholder management|client management|customer management|business stakeholders|client relationship|customer success</t>
  </si>
  <si>
    <t>service improvement|continual service improvement|csi|process improvement|service optimization|quality improvement</t>
  </si>
  <si>
    <t>CRM support cloud ops</t>
  </si>
  <si>
    <t>crm support|cloud operations|cloudops|salesforce support|siebel support|application operations|appops|platform ops</t>
  </si>
  <si>
    <t>product management|product manager|product mgmt|product owner|senior product manager|principal product manager|group product manager</t>
  </si>
  <si>
    <t>PM</t>
  </si>
  <si>
    <t>product strategy|product vision|product thesis|product direction|strategic product|product principles|north star metric</t>
  </si>
  <si>
    <t>product roadmap|roadmap|feature roadmap|release roadmap|product planning|quarterly roadmap|multi-quarter roadmap</t>
  </si>
  <si>
    <t>customer discovery|customer interviews|voice of customer|voc|customer needs|customer feedback|jobs to be done|jtbd|customer insights</t>
  </si>
  <si>
    <t>user research|ux research|user testing|usability testing|user interviews|user personas|user journey|customer journey</t>
  </si>
  <si>
    <t>product analytics|amplitude|mixpanel|pendo|heap|fullstory|hotjar|user behavior analytics|funnel analysis|retention analysis|cohort analysis</t>
  </si>
  <si>
    <t>a/b test|a/b testing|ab test|split test|experimentation|experiment|multivariate test|feature flag|optimizely|launchdarkly|statistical significance</t>
  </si>
  <si>
    <t>product-market fit|pmf|product market fit|market fit|early adopters|growth loop|activation|engagement metrics|dau|mau</t>
  </si>
  <si>
    <t>Product launch / GTM</t>
  </si>
  <si>
    <t>product launch|launch|gtm|go-to-market|go to market|beta launch|ga launch|general availability|launch plan|launch readiness|rollout</t>
  </si>
  <si>
    <t>Stakeholder management PM</t>
  </si>
  <si>
    <t>stakeholder management|executive stakeholders|leadership alignment|stakeholder alignment|cross-functional stakeholders|business partners|internal customers</t>
  </si>
  <si>
    <t>Cross-functional leadership PM</t>
  </si>
  <si>
    <t>cross-functional|cross functional|xfn|engineering partnership|design partnership|marketing partnership|sales enablement|cross-team|multi-disciplinary</t>
  </si>
  <si>
    <t>data-driven|data driven|data-informed|metrics-driven|kpi-driven|quantitative|analytics-driven|hypothesis-driven</t>
  </si>
  <si>
    <t>okrs|okr|objectives and key results|kpis|kpi|key performance indicator|north star|success metrics|leading indicators|lagging indicators</t>
  </si>
  <si>
    <t>Agile / Scrum PM</t>
  </si>
  <si>
    <t>agile|scrum|kanban|sprint|backlog|user story|acceptance criteria|story points|sprint planning|sprint review|retrospective</t>
  </si>
  <si>
    <t>saas|b2b|b2c|b2b2c|enterprise software|platform|api product|paas|subscription|freemium|self-serve|plg|product-led growth</t>
  </si>
  <si>
    <t>Final Recommendation - Auto-Calculated</t>
  </si>
  <si>
    <t>Resume Version</t>
  </si>
  <si>
    <t>Final Score</t>
  </si>
  <si>
    <t>Match Level</t>
  </si>
  <si>
    <t>AI Transformation Manager</t>
  </si>
  <si>
    <t>Weak Match</t>
  </si>
  <si>
    <t>Best for AI/transformation-led roles, GenAI strategy, intelligent automation</t>
  </si>
  <si>
    <t>Moderate Match</t>
  </si>
  <si>
    <t>Best for cross-functional technical delivery, program governance, roadmap execution</t>
  </si>
  <si>
    <t>Best for service delivery, SLA management, ITIL/ServiceNow operations</t>
  </si>
  <si>
    <t>Best for product strategy, roadmapping, feature discovery, GTM, customer metrics</t>
  </si>
  <si>
    <t>BEST FIT RESUME</t>
  </si>
  <si>
    <t>Recommended Cover Letter</t>
  </si>
  <si>
    <t>Match Level Scoring Guide</t>
  </si>
  <si>
    <t>Final Score &gt;= 32 | Apply with confidence, minimal edits needed</t>
  </si>
  <si>
    <t>Strong Match</t>
  </si>
  <si>
    <t>Good Match</t>
  </si>
  <si>
    <t>Final Score 25-31 | Good candidate, tailor a few bullets</t>
  </si>
  <si>
    <t>Final Score 18-24 | Apply only with significant tailoring</t>
  </si>
  <si>
    <t>Final Score &lt; 18 | Consider not applying or reposition heavily</t>
  </si>
  <si>
    <t>Action Items Before Applying</t>
  </si>
  <si>
    <t>Best-fit resume identified above. Review the matching scoring sheet column E to see which keywords were detected and which were missed.</t>
  </si>
  <si>
    <t>Key Gaps to Address</t>
  </si>
  <si>
    <t>Best-fit resume identified above. Review the matching scoring sheet column E and Top Missing Keywords table to see exact gaps.</t>
  </si>
  <si>
    <t>Top 5 Resume Edits</t>
  </si>
  <si>
    <t>1) Mirror the top 5 JD keywords in your Professional Summary. 2) Add 1 bullet quantifying impact for the top keyword. 3) Move best-matching role experience to the top. 4) Re-title resume header to match JD role title. 5) Add JD industry or domain reference in your summary.</t>
  </si>
  <si>
    <t>Best Cover Letter to Use</t>
  </si>
  <si>
    <t>Interview Themes to Prepare</t>
  </si>
  <si>
    <t>Auto-Scoring Active - Edit JD_INPUT cell B10 to update all scores instantly across all 4 tracks.</t>
  </si>
  <si>
    <t>Dimension</t>
  </si>
  <si>
    <t>Technical PM</t>
  </si>
  <si>
    <t>IT Delivery</t>
  </si>
  <si>
    <t>Keyword Coverage</t>
  </si>
  <si>
    <t>Pattern Match</t>
  </si>
  <si>
    <t>Company Fit</t>
  </si>
  <si>
    <t>Red Flag (inverted)</t>
  </si>
  <si>
    <t>✍️  RESUME BULLET GENERATOR  —  Pre-written bullets you can copy into your resume</t>
  </si>
  <si>
    <t>Keyword Theme</t>
  </si>
  <si>
    <t>Suggested Resume Bullet (edit with your metrics)</t>
  </si>
  <si>
    <t>JD Hit?</t>
  </si>
  <si>
    <t>Recommended?</t>
  </si>
  <si>
    <t>🤖 AI</t>
  </si>
  <si>
    <t>Led enterprise AI transformation across [X] business units — delivered [$XM] in productivity gains and reduced manual effort by [X]% through GenAI-driven workflows.</t>
  </si>
  <si>
    <t>Directed digital transformation program spanning [X] applications and [X] users — modernized legacy platforms and achieved [X]% reduction in operational cost within [X] months.</t>
  </si>
  <si>
    <t>Architected GenAI/LLM solution using [OpenAI/Claude/Gemini] with RAG pipeline — reduced content creation time by [X]% and improved customer response accuracy by [X]%.</t>
  </si>
  <si>
    <t>Deployed intelligent automation (RPA + AI) across [X] business processes — automated [X] manual workflows, saving [X] FTE hours annually.</t>
  </si>
  <si>
    <t>Defined enterprise AI strategy and roadmap in partnership with C-suite — established AI Center of Excellence and governed [X]+ AI initiatives across [X] departments.</t>
  </si>
  <si>
    <t>Built multi-year transformation roadmap aligning [X] workstreams with target operating model — secured [$XM] budget and achieved [X]% milestone completion on schedule.</t>
  </si>
  <si>
    <t>Modernized [X] legacy applications to cloud-native architecture — reduced technical debt by [X]% and improved system availability from [X]% to [X]%.</t>
  </si>
  <si>
    <t>Led change management for [X] transformation initiatives affecting [X]+ employees — achieved [X]% adoption rate through structured communication, training, and Prosci/ADKAR framework.</t>
  </si>
  <si>
    <t>Established governance framework with [X] executive steering committees — drove alignment across [X] business units and accelerated decision-making by [X]%.</t>
  </si>
  <si>
    <t>Led CRM transformation (Salesforce/Dynamics) for [X] users — consolidated [X] legacy systems, improved sales productivity by [X]%, and boosted customer NPS by [X] points.</t>
  </si>
  <si>
    <t>Salesforce / ServiceNow</t>
  </si>
  <si>
    <t>Managed Salesforce/ServiceNow platform delivery across [X] instances — implemented [X] custom apps and achieved [X]% user adoption within [X] months of go-live.</t>
  </si>
  <si>
    <t>Led cloud migration of [X] applications to [AWS/Azure/GCP] — reduced infrastructure cost by [X]%, improved deployment velocity [X]×, and completed [X] months ahead of plan.</t>
  </si>
  <si>
    <t>Optimized [X] core business processes using Lean/Six Sigma — eliminated [X] hours of manual work per week and reduced cycle time by [X]%.</t>
  </si>
  <si>
    <t>Redesigned target operating model for [X] function — restructured [X] teams, clarified [X] roles, and improved throughput by [X]% within [X] quarters.</t>
  </si>
  <si>
    <t>Led cross-functional teams of [X]+ across engineering, product, design, and business — delivered [X] initiatives on schedule with [X]% stakeholder satisfaction.</t>
  </si>
  <si>
    <t>⚙️ TPM</t>
  </si>
  <si>
    <t>Managed [X] concurrent technical programs valued at [$XM] — coordinated [X]+ engineering teams and delivered [X]% on-time milestone completion.</t>
  </si>
  <si>
    <t>Delivered [X] multi-quarter programs from initiation through launch — met [X]% of scope, budget, and schedule targets across [X] product releases.</t>
  </si>
  <si>
    <t>Owned quarterly roadmap for [X] product areas — defined [X] OKRs, tracked [X] milestones, and delivered [X]% of committed scope per quarter.</t>
  </si>
  <si>
    <t>Coordinated [X]+ engineering, product, and design teams across [X] time zones — resolved [X] critical blockers and accelerated delivery by [X] weeks.</t>
  </si>
  <si>
    <t>Managed executive stakeholders including [VPs/Directors] across [X] business units — delivered weekly status readouts and drove alignment on [X] critical decisions.</t>
  </si>
  <si>
    <t>Maintained active RAID log with [X]+ risks/issues per program — mitigated [X] critical risks pre-launch and prevented [X] production incidents.</t>
  </si>
  <si>
    <t>Tracked [X]+ inter-team dependencies across [X] engineering orgs — proactively unblocked [X] critical-path items and reduced schedule slippage by [X]%.</t>
  </si>
  <si>
    <t>Change management (TPM)</t>
  </si>
  <si>
    <t>Chaired Change Advisory Board (CAB) reviewing [X] change requests weekly — approved [X] releases with zero rollback events over [X] months.</t>
  </si>
  <si>
    <t>Managed [X] production releases across [X] services — established release train cadence and achieved [X]% deployment success rate.</t>
  </si>
  <si>
    <t>SDLC / Agile / Scrum</t>
  </si>
  <si>
    <t>Championed Agile/Scrum practices across [X] teams — facilitated [X] sprints, drove [X]% velocity improvement, and coached [X] Scrum Masters.</t>
  </si>
  <si>
    <t>Managed enterprise platform programs (ERP/SAP/Oracle) impacting [X] users — delivered [X] modules on time and reduced total cost of ownership by [X]%.</t>
  </si>
  <si>
    <t>Cloud migration (TPM)</t>
  </si>
  <si>
    <t>Program-managed cloud migration of [X] workloads to [AWS/Azure/GCP] — coordinated [X] teams, retired [X] legacy systems, and cut infra spend by [X]%.</t>
  </si>
  <si>
    <t>Delivered datacenter consolidation of [X] sites into [X] regional hubs — migrated [X] applications with [X] hours planned downtime and zero data loss.</t>
  </si>
  <si>
    <t>High availability / SRE</t>
  </si>
  <si>
    <t>Improved platform availability from [X]% to [X]% by partnering with SRE — reduced MTTR by [X]% and achieved 99.9%+ uptime SLA for [X] months running.</t>
  </si>
  <si>
    <t>Managed [X] strategic vendors with combined [$XM] spend — negotiated SOWs, tracked SLA compliance, and achieved [X]% cost savings on renewal.</t>
  </si>
  <si>
    <t>🛠️ ITDM</t>
  </si>
  <si>
    <t>Led IT delivery for [X] business-critical applications across [X]+ users — met [X]% of SLA targets and reduced production incidents by [X]%.</t>
  </si>
  <si>
    <t>Owned end-to-end service delivery for [X] managed services — achieved [X]% customer satisfaction (CSAT) and reduced tickets by [X]% YoY.</t>
  </si>
  <si>
    <t>Governed SLA compliance across [X] services — achieved [X]% adherence to response and resolution SLAs, avoiding [$XK] in service credit penalties.</t>
  </si>
  <si>
    <t>Led major-incident (P1/P2) response for [X] critical outages — reduced MTTR from [X] to [X] minutes and drove postmortem/RCA to closure within [X] hours.</t>
  </si>
  <si>
    <t>Drove problem management program — identified [X] recurring incidents, delivered [X] permanent fixes, and reduced repeat P1 volume by [X]%.</t>
  </si>
  <si>
    <t>Change management (ITDM)</t>
  </si>
  <si>
    <t>Chaired weekly CAB for [X] change requests — approved [X] releases with [X]% success rate and zero unplanned rollbacks.</t>
  </si>
  <si>
    <t>Coordinated [X] production releases per quarter across [X] applications — achieved [X]% first-time success rate and zero SEV1 incidents post-deployment.</t>
  </si>
  <si>
    <t>Implemented ITIL v4 practices across [X] service management functions — improved service ticket handling by [X]% and passed [X] ISO 20000/audit reviews.</t>
  </si>
  <si>
    <t>Led ServiceNow platform implementation/expansion — configured [X] workflows (ITSM/ITOM/ITBM), automated [X] processes, and improved fulfillment speed by [X]%.</t>
  </si>
  <si>
    <t>Directed 24×7 IT operations spanning [X] applications and [X]+ users — maintained [X]% availability and led [X]-person operations team.</t>
  </si>
  <si>
    <t>Ran L2/L3 production support for [X] mission-critical applications — resolved [X]+ tickets/month with [X]% within SLA and [X]% first-call resolution.</t>
  </si>
  <si>
    <t>Maintained platform availability of [X]% (99.9%+) across [X] services — implemented resilience patterns and reduced unplanned downtime by [X] hours/year.</t>
  </si>
  <si>
    <t>Stakeholder management (ITDM)</t>
  </si>
  <si>
    <t>Managed executive/client stakeholder relationships across [X] accounts — delivered monthly service reviews and achieved [X]% renewal rate with [X] key accounts.</t>
  </si>
  <si>
    <t>Service improvement (CSI)</t>
  </si>
  <si>
    <t>Led continual service improvement (CSI) initiatives — identified [X] quick wins, delivered [X]% ticket reduction, and improved MTTR by [X] minutes.</t>
  </si>
  <si>
    <t>Managed CloudOps/CRM support for [X] production instances (Salesforce/Siebel) — sustained [X]% platform uptime and reduced escalations by [X]%.</t>
  </si>
  <si>
    <t>📦 PM</t>
  </si>
  <si>
    <t>Owned end-to-end product lifecycle for [Product/Platform], driving [X]% increase in monthly active users and generating [$XM] in annualized recurring revenue.</t>
  </si>
  <si>
    <t>Defined 3-year product vision and strategic north star metrics across [X] customer segments, aligning [X] executive stakeholders on multi-quarter roadmaps.</t>
  </si>
  <si>
    <t>Constructed outcome-driven product roadmap balancing tech debt with feature velocity, achieving [X]% on-time milestone delivery across [X] quarterly releases.</t>
  </si>
  <si>
    <t>Conducted [X]+ customer discovery interviews and synthesized Voice of Customer (VoC) feedback into high-priority backlog epics, boosting NPS by [X] pts.</t>
  </si>
  <si>
    <t>Partnered with UX research to run [X] usability testing cycles, reducing customer onboarding friction and lowering time-to-first-value by [X]%.</t>
  </si>
  <si>
    <t>Built granular product telemetry in [Amplitude/Mixpanel/FullStory], identifying drop-off bottlenecks and improving core conversion funnel by [X]%.</t>
  </si>
  <si>
    <t>Designed and executed [X]+ A/B experiments on pricing/packaging and feature activation, delivering a statistically significant [X]% lift in trial-to-paid conversion.</t>
  </si>
  <si>
    <t>Identified high-growth ICP and accelerated product-market fit (PMF), scaling DAU/MAU ratio from [X]% to [X]% and reducing customer churn by [X]%.</t>
  </si>
  <si>
    <t>Led cross-functional GTM launch for [Feature/Product], training [X] sales/CS reps, acquiring [X]+ beta users in week 1, and exceeding pipeline target by [X]%.</t>
  </si>
  <si>
    <t>Managed executive alignment across Sales, Marketing, CS, and Engineering, securing buy-in for [X] tier-1 product initiatives.</t>
  </si>
  <si>
    <t>Led squad of [X] engineers, designers, and data analysts in agile cadence; maintained high team morale and improved velocity by [X]%.</t>
  </si>
  <si>
    <t>Established quantitative decision frameworks prioritizing features by expected ROI, customer impact, and engineering feasibility.</t>
  </si>
  <si>
    <t>Established quarterly product OKRs tied directly to corporate revenue targets, surpassing all [X] key results by an average of [X]%.</t>
  </si>
  <si>
    <t>Spearheaded backlog grooming, sprint planning, and user story definitions for [X] squads, decreasing sprint spillover from [X]% to [X]%.</t>
  </si>
  <si>
    <t>Scaled enterprise B2B SaaS platform serving [X]+ enterprise logos, implementing self-serve PLG motions alongside high-touch enterprise workflows.</t>
  </si>
  <si>
    <t>📊 Total Recommended Bullets</t>
  </si>
  <si>
    <t>About The Job
The Field Platforms Operations Lead role is a part of the Go-to-Market Capabilities (GTMC), Customer Facing Capabilities (CFC), CRM &amp; Enablers team. The GTMC organization drives best-in-class capabilities and brings value and excellence in commercial operations. The GTMC organization is a key part of the modernization of Sanofi and allows all business operations efforts to be focused on Sanofi "Take the Lead" priorities across products, markets, and pipelines. It accomplishes these goals through realizing the efficiencies of removing silos that exist between our business units, avoiding the duplication and overlapping of resources, standardizing our processes and tools, operating with a One Sanofi approach to accelerate our key capabilities development, and fostering the entrepreneurial spirit by speeding up the decision making process.
This role serves as the technical authority for OneCRM US field platform operations, leading the strategic vision for CRM operations, data governance, and platform evolution. This leader designs and implements scalable operational solutions that support multi-brand, multi-market launch requirements, ensuring enterprise-wide CRM performance, data integrity, and continuous platform transformation.
This position will work closely with CRM &amp; Enablers Team members in the US, US-based stakeholders, Hyderabad HUB resources, contracted system enhancement resources, Sr. Field Management, the Workday Team, select vendors (i.e. Hibbert), other GTMC pillars, Veeva, and Sanofi Digital to lead the end-to-end design, governance, and evolution of OneCRM US field platform operations. This leader serves as a strategic partner across the OneCRM US ecosystem, influencing platform direction, data governance standards, and operational frameworks that underpin enterprise-wide CRM performance.
Main Responsibilities
Lead the strategic vision and operational roadmap for OneCRM US field platform operations, ensuring alignment with enterprise CRM standards and business priorities
Influence platform strategy and technical architecture decisions across OneCRM US, shaping long-term CRM evolution and downstream system integration
Serve as the technical authority for CRM data governance, establishing standards, policies, and frameworks that ensure data integrity across the OneCRM US ecosystem
Drive enterprise-wide data governance initiatives, influencing data quality standards across multiple business units and downstream systems
Design and implement scalable CRM operational solutions that support multi-brand, multi-market launch requirements across the OneCRM US ecosystem
Architect end-to-end operational frameworks and processes that scale with organizational growth and platform evolution
Lead and mentor the field platforms operations team, providing technical guidance, knowledge transfer, and career development support
Drive capability building across the broader CRM operations community through structured knowledge sharing and best practice development
Partner with Platform, Digital, and Business teams to influence technical decisions on incoming platform requests and CRM enhancements
Influence senior stakeholder priorities and resource strategies across multiple concurrent launch projects and business units
Lead transformation of CRM operational processes, driving adoption of modern approaches and establishing performance measurement frameworks
Investigate and remediate escalated inquiries, applying technical expertise to resolve complex issues and prevent recurrence through systemic process improvements
Drive cross-functional collaboration across partner GTMC US teams, ensuring operational strategies are integrated with platform and business initiatives
About Our Team
The CRM &amp; Enablers Team is a part of the GTMC organization in the US. The CRM &amp; Enablers Team strives to support our business customer facing teams by delivering innovative CRM capabilities that are timely, reliable, accurate, and constantly improving. We focus on our customers — both brand teams and customer facing teams — to adapt our CRM platform and operational systems to meet their needs. Our efforts to streamline and maintain OneCRM US bring value and impact to the organization by reducing the manual workload on our customer facing teams, by providing accurate activity data back to reporting systems, and acting as the nexus of data flow to and from Sanofi data systems. This team operates as a strategic partner to the business, driving platform excellence and enabling field force effectiveness at enterprise scale
About The Candidate
This candidate has a demonstrated track record of leading technical teams, influencing enterprise platform strategy, and designing scalable operational solutions across multiple business units and product launches. They bring deep expertise in CRM operations, data governance, and field platform management, combined with the ability to translate complex technical requirements into enterprise-wide operational frameworks. This leader has experience architecting CRM solutions, driving process transformation, and building organizational capability at scale. They are skilled at influencing senior stakeholders, navigating complex matrix environments, and shaping platform strategy across concurrent launch programs. Strong English communication skills and availability to engage with US stakeholders with significant operational hour overlap are essential.
Ideal Experience
Bachelor's degree from an accredited four-year college or university (Project Management Masters or MBA preferred)
7+ years of progressive CRM operations and field platform experience with demonstrated leadership
7+ years of experience in Biotechnology or Pharmaceuticals
Proven track record of leading technical teams and driving strategic operational initiatives across enterprise-scale programs
Experience in solution architecture for CRM platforms and operational frameworks
Advanced expertise in data governance, data quality standards, and enterprise data management
Advanced skills in managing senior stakeholder relationships across business units and multiple launch projects
Experience influencing enterprise-wide platform strategy and operational approaches
Strong knowledge and experience with Veeva CRM, Agile processes, and field force management systems
A keen eye for improvement opportunities and the demonstrated ability to deliver on these opportunities
Clear communication skills with the ability to explain not only the requirements and the "ask", but also the "why" with credibility
Motivated, energetic, and a respected contributor who engages and elevates others
Ability to change behaviors to evolve to the company's strategies and initiatives
Experience working and thriving in a matrix environment
Strong English communication skills with the ability to engage and align diverse stakeholders across geographies and functions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</si>
</sst>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1" x14ac:knownFonts="1">
    <font>
      <sz val="11"/>
      <color theme="1"/>
      <name val="Calibri"/>
      <scheme val="minor"/>
    </font>
    <font>
      <b/>
      <sz val="18"/>
      <color rgb="FFFFFFFF"/>
      <name val="Calibri"/>
    </font>
    <font>
      <b/>
      <sz val="11"/>
      <name val="Calibri"/>
    </font>
    <font>
      <b/>
      <sz val="13"/>
      <color rgb="FFFFFFFF"/>
      <name val="Calibri"/>
    </font>
    <font>
      <b/>
      <sz val="11"/>
      <color rgb="FFFFFFFF"/>
      <name val="Aptos Narrow"/>
    </font>
    <font>
      <b/>
      <sz val="11"/>
      <name val="Aptos Narrow"/>
    </font>
    <font>
      <sz val="11"/>
      <name val="Aptos Narrow"/>
    </font>
    <font>
      <b/>
      <sz val="16"/>
      <color rgb="FFFFFFFF"/>
      <name val="Calibri"/>
    </font>
    <font>
      <b/>
      <sz val="14"/>
      <color rgb="FFFFFFFF"/>
      <name val="Calibri"/>
    </font>
    <font>
      <b/>
      <sz val="12"/>
      <name val="Aptos Narrow"/>
    </font>
    <font>
      <b/>
      <sz val="10"/>
      <name val="Aptos Narrow"/>
    </font>
    <font>
      <sz val="9"/>
      <name val="Aptos Narrow"/>
    </font>
    <font>
      <b/>
      <sz val="11"/>
      <color rgb="FFFFFFFF"/>
      <name val="Calibri"/>
    </font>
    <font>
      <sz val="10"/>
      <name val="Aptos Narrow"/>
    </font>
    <font>
      <b/>
      <sz val="12"/>
      <color rgb="FFFFFFFF"/>
      <name val="Calibri"/>
    </font>
    <font>
      <b/>
      <sz val="12"/>
      <name val="Calibri"/>
    </font>
    <font>
      <b/>
      <sz val="12"/>
      <color rgb="FFFFFFFF"/>
      <name val="Aptos Narrow"/>
    </font>
    <font>
      <b/>
      <sz val="11"/>
      <color rgb="FF000000"/>
      <name val="Calibri"/>
    </font>
    <font>
      <b/>
      <sz val="24"/>
      <color rgb="FFFFFFFF"/>
      <name val="Calibri"/>
    </font>
    <font>
      <i/>
      <sz val="13"/>
      <color rgb="FFD9E1F2"/>
      <name val="Calibri"/>
    </font>
    <font>
      <b/>
      <sz val="12"/>
      <color rgb="FFFFFFFF"/>
      <name val="Calibri"/>
    </font>
    <font>
      <b/>
      <sz val="14"/>
      <color rgb="FFFFFFFF"/>
      <name val="Calibri"/>
    </font>
    <font>
      <b/>
      <sz val="12"/>
      <color rgb="FF1F3864"/>
      <name val="Calibri"/>
    </font>
    <font>
      <b/>
      <sz val="13"/>
      <color rgb="FF1F3864"/>
      <name val="Calibri"/>
    </font>
    <font>
      <b/>
      <sz val="11"/>
      <color rgb="FF006100"/>
      <name val="Calibri"/>
    </font>
    <font>
      <i/>
      <sz val="11"/>
      <color rgb="FF595959"/>
      <name val="Calibri"/>
    </font>
    <font>
      <sz val="11"/>
      <name val="Calibri"/>
      <scheme val="minor"/>
    </font>
    <font>
      <b/>
      <sz val="32"/>
      <color rgb="FFFFFFFF"/>
      <name val="Calibri"/>
    </font>
    <font>
      <i/>
      <sz val="10"/>
      <color rgb="FF006100"/>
      <name val="Calibri"/>
    </font>
    <font>
      <i/>
      <sz val="10"/>
      <color rgb="FF1F4E79"/>
      <name val="Calibri"/>
    </font>
    <font>
      <i/>
      <sz val="10"/>
      <color rgb="FF5F497A"/>
      <name val="Calibri"/>
    </font>
    <font>
      <u/>
      <sz val="11"/>
      <color rgb="FF0563C1"/>
      <name val="Calibri"/>
      <scheme val="minor"/>
    </font>
    <font>
      <b/>
      <sz val="32"/>
      <color rgb="FF1F3864"/>
      <name val="Calibri"/>
    </font>
    <font>
      <b/>
      <sz val="14"/>
      <color rgb="FF1F3864"/>
      <name val="Calibri"/>
    </font>
    <font>
      <i/>
      <sz val="10"/>
      <color rgb="FF833C0C"/>
      <name val="Calibri"/>
    </font>
    <font>
      <i/>
      <sz val="10"/>
      <color rgb="FF7F6000"/>
      <name val="Calibri"/>
    </font>
    <font>
      <i/>
      <sz val="10"/>
      <color rgb="FF9C0006"/>
      <name val="Calibri"/>
    </font>
    <font>
      <b/>
      <sz val="13"/>
      <color rgb="FFFFFFFF"/>
      <name val="Calibri"/>
    </font>
    <font>
      <i/>
      <sz val="10"/>
      <color rgb="FF375623"/>
      <name val="Calibri"/>
    </font>
    <font>
      <i/>
      <sz val="10"/>
      <color rgb="FF1F3864"/>
      <name val="Calibri"/>
    </font>
    <font>
      <b/>
      <sz val="11"/>
      <color rgb="FF1F3864"/>
      <name val="Calibri"/>
    </font>
    <font>
      <i/>
      <sz val="10"/>
      <color rgb="FF595959"/>
      <name val="Calibri"/>
    </font>
    <font>
      <b/>
      <sz val="12"/>
      <color rgb="FF1F4E79"/>
      <name val="Calibri"/>
    </font>
    <font>
      <b/>
      <sz val="12"/>
      <color rgb="FF5F497A"/>
      <name val="Calibri"/>
    </font>
    <font>
      <b/>
      <sz val="12"/>
      <color rgb="FF833C0C"/>
      <name val="Calibri"/>
    </font>
    <font>
      <b/>
      <sz val="10"/>
      <color rgb="FFFFFFFF"/>
      <name val="Calibri"/>
    </font>
    <font>
      <b/>
      <sz val="11"/>
      <color rgb="FF0563C1"/>
      <name val="Calibri"/>
    </font>
    <font>
      <sz val="10"/>
      <color theme="1"/>
      <name val="Calibri"/>
    </font>
    <font>
      <b/>
      <i/>
      <sz val="12"/>
      <color rgb="FF1F3864"/>
      <name val="Calibri"/>
    </font>
    <font>
      <sz val="10"/>
      <color rgb="FFD9E1F2"/>
      <name val="Calibri"/>
    </font>
    <font>
      <b/>
      <sz val="16"/>
      <color rgb="FFFFFFFF"/>
      <name val="Calibri"/>
    </font>
    <font>
      <b/>
      <sz val="12"/>
      <color rgb="FF000000"/>
      <name val="Calibri"/>
    </font>
    <font>
      <b/>
      <sz val="16"/>
      <color rgb="FF1F3864"/>
      <name val="Calibri"/>
    </font>
    <font>
      <sz val="11"/>
      <color rgb="FF000000"/>
      <name val="Calibri"/>
    </font>
    <font>
      <sz val="11"/>
      <color rgb="FF1F3864"/>
      <name val="Consolas"/>
    </font>
    <font>
      <b/>
      <sz val="12"/>
      <color rgb="FF375623"/>
      <name val="Calibri"/>
    </font>
    <font>
      <sz val="11"/>
      <color rgb="FF1F3864"/>
      <name val="Calibri"/>
    </font>
    <font>
      <b/>
      <sz val="13"/>
      <color rgb="FFFFFFFF"/>
      <name val="Aptos Narrow"/>
    </font>
    <font>
      <b/>
      <sz val="12"/>
      <color rgb="FF833C0C"/>
      <name val="Aptos Narrow"/>
    </font>
    <font>
      <b/>
      <sz val="11"/>
      <color rgb="FF1F3864"/>
      <name val="Aptos Narrow"/>
    </font>
    <font>
      <b/>
      <sz val="12"/>
      <color rgb="FFC00000"/>
      <name val="Aptos Narrow"/>
    </font>
    <font>
      <b/>
      <sz val="12"/>
      <color rgb="FF1F3864"/>
      <name val="Aptos Narrow"/>
    </font>
    <font>
      <b/>
      <sz val="12"/>
      <color rgb="FFFFFFFF"/>
      <name val="Aptos Narrow"/>
    </font>
    <font>
      <b/>
      <sz val="13"/>
      <color rgb="FF006100"/>
      <name val="Aptos Narrow"/>
    </font>
    <font>
      <b/>
      <sz val="12"/>
      <color rgb="FF5F497A"/>
      <name val="Aptos Narrow"/>
    </font>
    <font>
      <b/>
      <sz val="13"/>
      <color rgb="FF7030A0"/>
      <name val="Calibri"/>
    </font>
    <font>
      <i/>
      <sz val="10"/>
      <color rgb="FFFFC000"/>
      <name val="Aptos Narrow"/>
    </font>
    <font>
      <sz val="12"/>
      <color rgb="FFBFBFBF"/>
      <name val="Aptos Narrow"/>
    </font>
    <font>
      <b/>
      <sz val="12"/>
      <color rgb="FFBFBFBF"/>
      <name val="Consolas"/>
    </font>
    <font>
      <b/>
      <sz val="14"/>
      <color rgb="FFFFFFFF"/>
      <name val="Aptos Narrow"/>
    </font>
    <font>
      <b/>
      <sz val="12"/>
      <color rgb="FF00B050"/>
      <name val="Consolas"/>
    </font>
    <font>
      <b/>
      <sz val="14"/>
      <color rgb="FF1F3864"/>
      <name val="Aptos Narrow"/>
    </font>
    <font>
      <b/>
      <sz val="12"/>
      <color rgb="FFFFC000"/>
      <name val="Consolas"/>
    </font>
    <font>
      <b/>
      <sz val="11"/>
      <color rgb="FFFFC000"/>
      <name val="Consolas"/>
    </font>
    <font>
      <i/>
      <sz val="10"/>
      <color rgb="FF1F3864"/>
      <name val="Consolas"/>
    </font>
    <font>
      <sz val="11"/>
      <color theme="1"/>
      <name val="Aptos Narrow"/>
    </font>
    <font>
      <b/>
      <sz val="12"/>
      <color rgb="FF006100"/>
      <name val="Aptos Narrow"/>
    </font>
    <font>
      <sz val="11"/>
      <color rgb="FF1F3864"/>
      <name val="Aptos Narrow"/>
    </font>
    <font>
      <b/>
      <sz val="16"/>
      <color rgb="FFFFFFFF"/>
      <name val="Aptos Narrow"/>
    </font>
    <font>
      <b/>
      <sz val="12"/>
      <color rgb="FFFFFFFF"/>
      <name val="Aptos Narrow"/>
    </font>
    <font>
      <b/>
      <sz val="12"/>
      <color rgb="FF1F3864"/>
      <name val="Aptos Narrow"/>
    </font>
    <font>
      <sz val="11"/>
      <color rgb="FF1F3864"/>
      <name val="Aptos Narrow"/>
    </font>
    <font>
      <b/>
      <sz val="14"/>
      <color rgb="FF1F3864"/>
      <name val="Aptos Narrow"/>
    </font>
    <font>
      <sz val="9"/>
      <color rgb="FFBFBFBF"/>
      <name val="Aptos Narrow"/>
    </font>
    <font>
      <b/>
      <sz val="12"/>
      <color rgb="FFBFBFBF"/>
      <name val="Consolas"/>
    </font>
    <font>
      <b/>
      <sz val="13"/>
      <color rgb="FFFFFFFF"/>
      <name val="Aptos Narrow"/>
    </font>
    <font>
      <b/>
      <sz val="11"/>
      <color rgb="FFFFC000"/>
      <name val="Consolas"/>
    </font>
    <font>
      <i/>
      <sz val="10"/>
      <color rgb="FF1F3864"/>
      <name val="Consolas"/>
    </font>
    <font>
      <i/>
      <sz val="10"/>
      <color rgb="FF595959"/>
      <name val="Aptos Narrow"/>
    </font>
    <font>
      <b/>
      <sz val="15"/>
      <color rgb="FFFFFFFF"/>
      <name val="Aptos Narrow"/>
    </font>
    <font>
      <b/>
      <sz val="18"/>
      <color rgb="FF1F3864"/>
      <name val="Aptos Narrow"/>
    </font>
    <font>
      <b/>
      <sz val="13"/>
      <color rgb="FF1F3864"/>
      <name val="Aptos Narrow"/>
    </font>
    <font>
      <b/>
      <sz val="11"/>
      <color rgb="FFFFFFFF"/>
      <name val="Aptos Narrow"/>
    </font>
    <font>
      <b/>
      <sz val="10"/>
      <color rgb="FF1F3864"/>
      <name val="Consolas"/>
    </font>
    <font>
      <b/>
      <sz val="14"/>
      <color rgb="FFFFFFFF"/>
      <name val="Aptos Narrow"/>
    </font>
    <font>
      <b/>
      <sz val="12"/>
      <color rgb="FFC00000"/>
      <name val="Aptos Narrow"/>
    </font>
    <font>
      <b/>
      <sz val="12"/>
      <color rgb="FF006100"/>
      <name val="Aptos Narrow"/>
    </font>
    <font>
      <sz val="12"/>
      <color theme="1"/>
      <name val="Aptos Narrow"/>
    </font>
    <font>
      <b/>
      <sz val="12"/>
      <color theme="1"/>
      <name val="Aptos Narrow"/>
    </font>
    <font>
      <b/>
      <sz val="10"/>
      <color theme="1"/>
      <name val="Aptos Narrow"/>
    </font>
    <font>
      <b/>
      <sz val="12"/>
      <color rgb="FF375623"/>
      <name val="Aptos Narrow"/>
    </font>
    <font>
      <b/>
      <sz val="12"/>
      <color rgb="FF7F6000"/>
      <name val="Aptos Narrow"/>
    </font>
    <font>
      <b/>
      <sz val="11"/>
      <color rgb="FFFFFFFF"/>
      <name val="Calibri"/>
    </font>
    <font>
      <b/>
      <sz val="11"/>
      <color theme="1"/>
      <name val="Calibri"/>
    </font>
    <font>
      <b/>
      <sz val="13"/>
      <color theme="1"/>
      <name val="Calibri"/>
    </font>
    <font>
      <b/>
      <sz val="15"/>
      <color rgb="FF1F3864"/>
      <name val="Calibri"/>
    </font>
    <font>
      <sz val="11"/>
      <color theme="1"/>
      <name val="Calibri"/>
    </font>
    <font>
      <b/>
      <sz val="12"/>
      <color rgb="FF1F4E79"/>
      <name val="Aptos Narrow"/>
    </font>
    <font>
      <b/>
      <sz val="11"/>
      <color rgb="FF1F3864"/>
      <name val="Aptos Narrow"/>
    </font>
    <font>
      <sz val="11"/>
      <color rgb="FF000000"/>
      <name val="Aptos Narrow"/>
    </font>
    <font>
      <b/>
      <sz val="12"/>
      <name val="Aptos Narrow"/>
    </font>
    <font>
      <b/>
      <sz val="12"/>
      <color rgb="FF5F497A"/>
      <name val="Aptos Narrow"/>
    </font>
    <font>
      <b/>
      <sz val="12"/>
      <color rgb="FF833C0C"/>
      <name val="Aptos Narrow"/>
    </font>
    <font>
      <b/>
      <sz val="12"/>
      <color rgb="FF375623"/>
      <name val="Calibri"/>
    </font>
    <font>
      <b/>
      <sz val="11"/>
      <color rgb="FF1F3864"/>
      <name val="Calibri"/>
    </font>
    <font>
      <sz val="11"/>
      <color rgb="FF000000"/>
      <name val="Calibri"/>
    </font>
    <font>
      <b/>
      <sz val="12"/>
      <name val="Calibri"/>
    </font>
    <font>
      <b/>
      <sz val="13"/>
      <color rgb="FFFFFFFF"/>
      <name val="Calibri"/>
    </font>
    <font>
      <b/>
      <sz val="12"/>
      <color rgb="FF1F3864"/>
      <name val="Calibri"/>
    </font>
    <font>
      <b/>
      <sz val="12"/>
      <color rgb="FFFFFFFF"/>
      <name val="Calibri"/>
    </font>
    <font>
      <sz val="11"/>
      <name val="Aptos Narrow"/>
      <family val="2"/>
    </font>
  </fonts>
  <fills count="38">
    <fill>
      <patternFill patternType="none"/>
    </fill>
    <fill>
      <patternFill patternType="gray125"/>
    </fill>
    <fill>
      <patternFill patternType="solid">
        <fgColor rgb="FF1F3864"/>
      </patternFill>
    </fill>
    <fill>
      <patternFill patternType="solid">
        <fgColor rgb="FFD9E1F2"/>
      </patternFill>
    </fill>
    <fill>
      <patternFill patternType="solid">
        <fgColor rgb="FFE2EFDA"/>
      </patternFill>
    </fill>
    <fill>
      <patternFill patternType="solid">
        <fgColor rgb="FFFFF2CC"/>
      </patternFill>
    </fill>
    <fill>
      <patternFill patternType="solid">
        <fgColor rgb="FFC00000"/>
      </patternFill>
    </fill>
    <fill>
      <patternFill patternType="solid">
        <fgColor rgb="FFFFC000"/>
      </patternFill>
    </fill>
    <fill>
      <patternFill patternType="solid">
        <fgColor rgb="FF2E75B6"/>
      </patternFill>
    </fill>
    <fill>
      <patternFill patternType="solid">
        <fgColor rgb="FFFFFFFF"/>
      </patternFill>
    </fill>
    <fill>
      <patternFill patternType="solid">
        <fgColor rgb="FFFCE4D6"/>
      </patternFill>
    </fill>
    <fill>
      <patternFill patternType="solid">
        <fgColor rgb="FFA9D08E"/>
      </patternFill>
    </fill>
    <fill>
      <patternFill patternType="solid">
        <fgColor rgb="FFFFE699"/>
      </patternFill>
    </fill>
    <fill>
      <patternFill patternType="solid">
        <fgColor rgb="FFF4B084"/>
      </patternFill>
    </fill>
    <fill>
      <patternFill patternType="solid">
        <fgColor rgb="FF1F3864"/>
      </patternFill>
    </fill>
    <fill>
      <patternFill patternType="solid">
        <fgColor rgb="FF2E75B6"/>
      </patternFill>
    </fill>
    <fill>
      <patternFill patternType="solid">
        <fgColor rgb="FF00B050"/>
      </patternFill>
    </fill>
    <fill>
      <patternFill patternType="solid">
        <fgColor rgb="FFFFC000"/>
      </patternFill>
    </fill>
    <fill>
      <patternFill patternType="solid">
        <fgColor rgb="FFFFF2CC"/>
      </patternFill>
    </fill>
    <fill>
      <patternFill patternType="solid">
        <fgColor rgb="FFE2EFDA"/>
      </patternFill>
    </fill>
    <fill>
      <patternFill patternType="solid">
        <fgColor rgb="FFFFFFFF"/>
      </patternFill>
    </fill>
    <fill>
      <patternFill patternType="solid">
        <fgColor rgb="FF7030A0"/>
      </patternFill>
    </fill>
    <fill>
      <patternFill patternType="solid">
        <fgColor rgb="FFDDEBF7"/>
      </patternFill>
    </fill>
    <fill>
      <patternFill patternType="solid">
        <fgColor rgb="FFE4DFEC"/>
      </patternFill>
    </fill>
    <fill>
      <patternFill patternType="solid">
        <fgColor rgb="FFC55A11"/>
      </patternFill>
    </fill>
    <fill>
      <patternFill patternType="solid">
        <fgColor rgb="FFC00000"/>
      </patternFill>
    </fill>
    <fill>
      <patternFill patternType="solid">
        <fgColor rgb="FFFCE4D6"/>
      </patternFill>
    </fill>
    <fill>
      <patternFill patternType="solid">
        <fgColor rgb="FFFCEAEA"/>
      </patternFill>
    </fill>
    <fill>
      <patternFill patternType="solid">
        <fgColor rgb="FF375623"/>
      </patternFill>
    </fill>
    <fill>
      <patternFill patternType="solid">
        <fgColor rgb="FF4472C4"/>
      </patternFill>
    </fill>
    <fill>
      <patternFill patternType="solid">
        <fgColor rgb="FFD9E1F2"/>
      </patternFill>
    </fill>
    <fill>
      <patternFill patternType="solid">
        <fgColor rgb="FFF2F2F2"/>
      </patternFill>
    </fill>
    <fill>
      <patternFill patternType="solid">
        <fgColor rgb="FFF4B084"/>
      </patternFill>
    </fill>
    <fill>
      <patternFill patternType="solid">
        <fgColor rgb="FFBDD7EE"/>
      </patternFill>
    </fill>
    <fill>
      <patternFill patternType="solid">
        <fgColor rgb="FFCCC0DA"/>
      </patternFill>
    </fill>
    <fill>
      <patternFill patternType="solid">
        <fgColor rgb="FFF8CBAD"/>
      </patternFill>
    </fill>
    <fill>
      <patternFill patternType="solid">
        <fgColor rgb="FFC6E0B4"/>
      </patternFill>
    </fill>
    <fill>
      <patternFill patternType="solid">
        <fgColor rgb="FFFFE699"/>
      </patternFill>
    </fill>
  </fills>
  <borders count="37">
    <border>
      <left/>
      <right/>
      <top/>
      <bottom/>
      <diagonal/>
    </border>
    <border>
      <left/>
      <right/>
      <top/>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style="thin">
        <color rgb="FFBFBFBF"/>
      </left>
      <right style="thin">
        <color rgb="FFBFBFBF"/>
      </right>
      <top style="thin">
        <color rgb="FFBFBFBF"/>
      </top>
      <bottom style="thin">
        <color rgb="FFBFBFBF"/>
      </bottom>
      <diagonal/>
    </border>
    <border>
      <left style="thick">
        <color rgb="FF00B050"/>
      </left>
      <right style="thick">
        <color rgb="FF00B050"/>
      </right>
      <top style="thick">
        <color rgb="FF00B050"/>
      </top>
      <bottom/>
      <diagonal/>
    </border>
    <border>
      <left style="thick">
        <color rgb="FF2E75B6"/>
      </left>
      <right style="thick">
        <color rgb="FF2E75B6"/>
      </right>
      <top style="thick">
        <color rgb="FF2E75B6"/>
      </top>
      <bottom/>
      <diagonal/>
    </border>
    <border>
      <left style="thick">
        <color rgb="FF7030A0"/>
      </left>
      <right style="thick">
        <color rgb="FF7030A0"/>
      </right>
      <top style="thick">
        <color rgb="FF7030A0"/>
      </top>
      <bottom/>
      <diagonal/>
    </border>
    <border>
      <left style="thick">
        <color rgb="FF00B050"/>
      </left>
      <right style="thick">
        <color rgb="FF00B050"/>
      </right>
      <top/>
      <bottom/>
      <diagonal/>
    </border>
    <border>
      <left style="thick">
        <color rgb="FF2E75B6"/>
      </left>
      <right style="thick">
        <color rgb="FF2E75B6"/>
      </right>
      <top/>
      <bottom/>
      <diagonal/>
    </border>
    <border>
      <left style="thick">
        <color rgb="FF7030A0"/>
      </left>
      <right style="thick">
        <color rgb="FF7030A0"/>
      </right>
      <top/>
      <bottom/>
      <diagonal/>
    </border>
    <border>
      <left style="thick">
        <color rgb="FF00B050"/>
      </left>
      <right style="thick">
        <color rgb="FF00B050"/>
      </right>
      <top style="thin">
        <color rgb="FF808080"/>
      </top>
      <bottom style="thick">
        <color rgb="FF00B050"/>
      </bottom>
      <diagonal/>
    </border>
    <border>
      <left style="thick">
        <color rgb="FF2E75B6"/>
      </left>
      <right style="thick">
        <color rgb="FF2E75B6"/>
      </right>
      <top/>
      <bottom style="thick">
        <color rgb="FF2E75B6"/>
      </bottom>
      <diagonal/>
    </border>
    <border>
      <left style="thick">
        <color rgb="FF7030A0"/>
      </left>
      <right style="thick">
        <color rgb="FF7030A0"/>
      </right>
      <top/>
      <bottom style="thick">
        <color rgb="FF7030A0"/>
      </bottom>
      <diagonal/>
    </border>
    <border>
      <left style="thick">
        <color rgb="FFC55A11"/>
      </left>
      <right style="thick">
        <color rgb="FFC55A11"/>
      </right>
      <top style="thick">
        <color rgb="FFC55A11"/>
      </top>
      <bottom style="thin">
        <color rgb="FF808080"/>
      </bottom>
      <diagonal/>
    </border>
    <border>
      <left style="thick">
        <color rgb="FFFFC000"/>
      </left>
      <right style="thick">
        <color rgb="FFFFC000"/>
      </right>
      <top style="thick">
        <color rgb="FFFFC000"/>
      </top>
      <bottom/>
      <diagonal/>
    </border>
    <border>
      <left style="thick">
        <color rgb="FFC00000"/>
      </left>
      <right style="thick">
        <color rgb="FFC00000"/>
      </right>
      <top style="thick">
        <color rgb="FFC00000"/>
      </top>
      <bottom/>
      <diagonal/>
    </border>
    <border>
      <left style="thick">
        <color rgb="FFC55A11"/>
      </left>
      <right style="thick">
        <color rgb="FFC55A11"/>
      </right>
      <top style="thin">
        <color rgb="FF808080"/>
      </top>
      <bottom style="thin">
        <color rgb="FF808080"/>
      </bottom>
      <diagonal/>
    </border>
    <border>
      <left style="thick">
        <color rgb="FFFFC000"/>
      </left>
      <right style="thick">
        <color rgb="FFFFC000"/>
      </right>
      <top/>
      <bottom/>
      <diagonal/>
    </border>
    <border>
      <left style="thick">
        <color rgb="FFC00000"/>
      </left>
      <right style="thick">
        <color rgb="FFC00000"/>
      </right>
      <top/>
      <bottom/>
      <diagonal/>
    </border>
    <border>
      <left style="thick">
        <color rgb="FFC55A11"/>
      </left>
      <right style="thick">
        <color rgb="FFC55A11"/>
      </right>
      <top style="thin">
        <color rgb="FF808080"/>
      </top>
      <bottom style="thick">
        <color rgb="FFC55A11"/>
      </bottom>
      <diagonal/>
    </border>
    <border>
      <left style="thick">
        <color rgb="FFFFC000"/>
      </left>
      <right style="thick">
        <color rgb="FFFFC000"/>
      </right>
      <top/>
      <bottom style="thick">
        <color rgb="FFFFC000"/>
      </bottom>
      <diagonal/>
    </border>
    <border>
      <left style="thick">
        <color rgb="FFC00000"/>
      </left>
      <right style="thick">
        <color rgb="FFC00000"/>
      </right>
      <top/>
      <bottom style="thick">
        <color rgb="FFC00000"/>
      </bottom>
      <diagonal/>
    </border>
    <border>
      <left style="thick">
        <color rgb="FF375623"/>
      </left>
      <right style="thick">
        <color rgb="FF375623"/>
      </right>
      <top style="thick">
        <color rgb="FF375623"/>
      </top>
      <bottom/>
      <diagonal/>
    </border>
    <border>
      <left style="thick">
        <color rgb="FF4472C4"/>
      </left>
      <right style="thick">
        <color rgb="FF4472C4"/>
      </right>
      <top style="thick">
        <color rgb="FF4472C4"/>
      </top>
      <bottom/>
      <diagonal/>
    </border>
    <border>
      <left style="thick">
        <color rgb="FF375623"/>
      </left>
      <right style="thick">
        <color rgb="FF375623"/>
      </right>
      <top/>
      <bottom/>
      <diagonal/>
    </border>
    <border>
      <left style="thick">
        <color rgb="FF4472C4"/>
      </left>
      <right style="thick">
        <color rgb="FF4472C4"/>
      </right>
      <top/>
      <bottom/>
      <diagonal/>
    </border>
    <border>
      <left style="thick">
        <color rgb="FF375623"/>
      </left>
      <right style="thick">
        <color rgb="FF375623"/>
      </right>
      <top style="thin">
        <color rgb="FF808080"/>
      </top>
      <bottom style="thick">
        <color rgb="FF375623"/>
      </bottom>
      <diagonal/>
    </border>
    <border>
      <left style="thick">
        <color rgb="FF4472C4"/>
      </left>
      <right style="thick">
        <color rgb="FF4472C4"/>
      </right>
      <top/>
      <bottom style="thick">
        <color rgb="FF4472C4"/>
      </bottom>
      <diagonal/>
    </border>
    <border>
      <left style="thin">
        <color rgb="FFFFC000"/>
      </left>
      <right style="thin">
        <color rgb="FFFFC000"/>
      </right>
      <top style="thin">
        <color rgb="FFFFC000"/>
      </top>
      <bottom style="thin">
        <color rgb="FFFFC000"/>
      </bottom>
      <diagonal/>
    </border>
    <border>
      <left style="thick">
        <color rgb="FF1F3864"/>
      </left>
      <right style="thick">
        <color rgb="FF1F3864"/>
      </right>
      <top style="thick">
        <color rgb="FF1F3864"/>
      </top>
      <bottom style="thick">
        <color rgb="FF1F3864"/>
      </bottom>
      <diagonal/>
    </border>
    <border>
      <left style="thick">
        <color rgb="FFC00000"/>
      </left>
      <right style="thick">
        <color rgb="FFC00000"/>
      </right>
      <top style="thick">
        <color rgb="FFC00000"/>
      </top>
      <bottom style="thick">
        <color rgb="FFC00000"/>
      </bottom>
      <diagonal/>
    </border>
    <border>
      <left style="thin">
        <color rgb="FFD9D9D9"/>
      </left>
      <right style="thin">
        <color rgb="FFD9D9D9"/>
      </right>
      <top style="thin">
        <color rgb="FFD9D9D9"/>
      </top>
      <bottom style="thin">
        <color rgb="FFD9D9D9"/>
      </bottom>
      <diagonal/>
    </border>
    <border>
      <left style="thin">
        <color rgb="FFB4B4B4"/>
      </left>
      <right style="thin">
        <color rgb="FFB4B4B4"/>
      </right>
      <top style="thin">
        <color rgb="FFB4B4B4"/>
      </top>
      <bottom style="thin">
        <color rgb="FFB4B4B4"/>
      </bottom>
      <diagonal/>
    </border>
    <border>
      <left style="thin">
        <color rgb="FF1F3864"/>
      </left>
      <right style="thin">
        <color rgb="FF1F3864"/>
      </right>
      <top style="thin">
        <color rgb="FF1F3864"/>
      </top>
      <bottom style="thin">
        <color rgb="FF1F3864"/>
      </bottom>
      <diagonal/>
    </border>
    <border>
      <left style="medium">
        <color rgb="FF1F3864"/>
      </left>
      <right style="medium">
        <color rgb="FF1F3864"/>
      </right>
      <top style="medium">
        <color rgb="FF1F3864"/>
      </top>
      <bottom style="medium">
        <color rgb="FF1F3864"/>
      </bottom>
      <diagonal/>
    </border>
    <border>
      <left style="thin">
        <color rgb="FFFFFFFF"/>
      </left>
      <right style="thin">
        <color rgb="FFFFFFFF"/>
      </right>
      <top style="thin">
        <color rgb="FFFFFFFF"/>
      </top>
      <bottom style="thin">
        <color rgb="FFFFFFFF"/>
      </bottom>
      <diagonal/>
    </border>
  </borders>
  <cellStyleXfs count="1">
    <xf numFmtId="0" fontId="0" fillId="0" borderId="1">
      <alignment vertical="top"/>
    </xf>
  </cellStyleXfs>
  <cellXfs count="226">
    <xf numFmtId="0" fontId="0" fillId="0" borderId="1" xfId="0">
      <alignment vertical="top"/>
    </xf>
    <xf numFmtId="0" fontId="1" fillId="2" borderId="1" xfId="0" applyFont="1" applyFill="1" applyAlignment="1">
      <alignment horizontal="center" vertical="center"/>
    </xf>
    <xf numFmtId="0" fontId="2" fillId="3" borderId="2" xfId="0" applyFont="1" applyFill="1" applyBorder="1">
      <alignment vertical="top"/>
    </xf>
    <xf numFmtId="0" fontId="3" fillId="2" borderId="1" xfId="0" applyFont="1" applyFill="1" applyAlignment="1">
      <alignment horizontal="center" vertical="center"/>
    </xf>
    <xf numFmtId="0" fontId="22" fillId="17" borderId="4" xfId="0" applyFont="1" applyFill="1" applyBorder="1" applyAlignment="1">
      <alignment horizontal="center" vertical="center"/>
    </xf>
    <xf numFmtId="0" fontId="23" fillId="18" borderId="4" xfId="0" applyFont="1" applyFill="1" applyBorder="1" applyAlignment="1">
      <alignment horizontal="center" vertical="center"/>
    </xf>
    <xf numFmtId="0" fontId="24" fillId="19" borderId="4" xfId="0" applyFont="1" applyFill="1" applyBorder="1" applyAlignment="1">
      <alignment horizontal="center" vertical="center"/>
    </xf>
    <xf numFmtId="0" fontId="25" fillId="20" borderId="4" xfId="0" applyFont="1" applyFill="1" applyBorder="1" applyAlignment="1">
      <alignment horizontal="center" vertical="center"/>
    </xf>
    <xf numFmtId="0" fontId="26" fillId="0" borderId="2" xfId="0" applyFont="1" applyBorder="1">
      <alignment vertical="top"/>
    </xf>
    <xf numFmtId="0" fontId="27" fillId="16" borderId="5" xfId="0" applyFont="1" applyFill="1" applyBorder="1" applyAlignment="1">
      <alignment horizontal="center" vertical="center"/>
    </xf>
    <xf numFmtId="0" fontId="27" fillId="15" borderId="6" xfId="0" applyFont="1" applyFill="1" applyBorder="1" applyAlignment="1">
      <alignment horizontal="center" vertical="center"/>
    </xf>
    <xf numFmtId="0" fontId="27" fillId="21" borderId="7" xfId="0" applyFont="1" applyFill="1" applyBorder="1" applyAlignment="1">
      <alignment horizontal="center" vertical="center"/>
    </xf>
    <xf numFmtId="0" fontId="21" fillId="16" borderId="8" xfId="0" applyFont="1" applyFill="1" applyBorder="1" applyAlignment="1">
      <alignment horizontal="center" vertical="center"/>
    </xf>
    <xf numFmtId="0" fontId="21" fillId="15" borderId="9" xfId="0" applyFont="1" applyFill="1" applyBorder="1" applyAlignment="1">
      <alignment horizontal="center" vertical="center"/>
    </xf>
    <xf numFmtId="0" fontId="21" fillId="21" borderId="10" xfId="0" applyFont="1" applyFill="1" applyBorder="1" applyAlignment="1">
      <alignment horizontal="center" vertical="center"/>
    </xf>
    <xf numFmtId="0" fontId="28" fillId="19" borderId="11" xfId="0" applyFont="1" applyFill="1" applyBorder="1" applyAlignment="1">
      <alignment horizontal="center" vertical="center"/>
    </xf>
    <xf numFmtId="0" fontId="29" fillId="22" borderId="12" xfId="0" applyFont="1" applyFill="1" applyBorder="1" applyAlignment="1">
      <alignment horizontal="center" vertical="center"/>
    </xf>
    <xf numFmtId="0" fontId="30" fillId="23" borderId="13" xfId="0" applyFont="1" applyFill="1" applyBorder="1" applyAlignment="1">
      <alignment horizontal="center" vertical="center"/>
    </xf>
    <xf numFmtId="0" fontId="31" fillId="0" borderId="2" xfId="0" applyFont="1" applyBorder="1">
      <alignment vertical="top"/>
    </xf>
    <xf numFmtId="0" fontId="27" fillId="24" borderId="14" xfId="0" applyFont="1" applyFill="1" applyBorder="1" applyAlignment="1">
      <alignment horizontal="center" vertical="center"/>
    </xf>
    <xf numFmtId="0" fontId="32" fillId="17" borderId="15" xfId="0" applyFont="1" applyFill="1" applyBorder="1" applyAlignment="1">
      <alignment horizontal="center" vertical="center"/>
    </xf>
    <xf numFmtId="0" fontId="27" fillId="25" borderId="16" xfId="0" applyFont="1" applyFill="1" applyBorder="1" applyAlignment="1">
      <alignment horizontal="center" vertical="center"/>
    </xf>
    <xf numFmtId="0" fontId="21" fillId="24" borderId="17" xfId="0" applyFont="1" applyFill="1" applyBorder="1" applyAlignment="1">
      <alignment horizontal="center" vertical="center"/>
    </xf>
    <xf numFmtId="0" fontId="33" fillId="17" borderId="18" xfId="0" applyFont="1" applyFill="1" applyBorder="1" applyAlignment="1">
      <alignment horizontal="center" vertical="center"/>
    </xf>
    <xf numFmtId="0" fontId="20" fillId="25" borderId="19" xfId="0" applyFont="1" applyFill="1" applyBorder="1" applyAlignment="1">
      <alignment horizontal="center" vertical="center"/>
    </xf>
    <xf numFmtId="0" fontId="34" fillId="26" borderId="20" xfId="0" applyFont="1" applyFill="1" applyBorder="1" applyAlignment="1">
      <alignment horizontal="center" vertical="center"/>
    </xf>
    <xf numFmtId="0" fontId="35" fillId="18" borderId="21" xfId="0" applyFont="1" applyFill="1" applyBorder="1" applyAlignment="1">
      <alignment horizontal="center" vertical="center"/>
    </xf>
    <xf numFmtId="0" fontId="36" fillId="27" borderId="22" xfId="0" applyFont="1" applyFill="1" applyBorder="1" applyAlignment="1">
      <alignment horizontal="center" vertical="center"/>
    </xf>
    <xf numFmtId="0" fontId="27" fillId="28" borderId="23" xfId="0" applyFont="1" applyFill="1" applyBorder="1" applyAlignment="1">
      <alignment horizontal="center" vertical="center"/>
    </xf>
    <xf numFmtId="0" fontId="37" fillId="28" borderId="25" xfId="0" applyFont="1" applyFill="1" applyBorder="1" applyAlignment="1">
      <alignment horizontal="center" vertical="center"/>
    </xf>
    <xf numFmtId="0" fontId="2" fillId="3" borderId="2" xfId="0" applyFont="1" applyFill="1" applyBorder="1" applyAlignment="1">
      <alignment horizontal="center" vertical="top"/>
    </xf>
    <xf numFmtId="0" fontId="38" fillId="19" borderId="27" xfId="0" applyFont="1" applyFill="1" applyBorder="1" applyAlignment="1">
      <alignment horizontal="center" vertical="center"/>
    </xf>
    <xf numFmtId="0" fontId="20" fillId="16" borderId="4" xfId="0" applyFont="1" applyFill="1" applyBorder="1" applyAlignment="1">
      <alignment horizontal="center" vertical="center"/>
    </xf>
    <xf numFmtId="0" fontId="20" fillId="29" borderId="4" xfId="0" applyFont="1" applyFill="1" applyBorder="1" applyAlignment="1">
      <alignment horizontal="center" vertical="center"/>
    </xf>
    <xf numFmtId="0" fontId="4" fillId="2" borderId="3" xfId="0" applyFont="1" applyFill="1" applyBorder="1" applyAlignment="1">
      <alignment horizontal="center" vertical="center"/>
    </xf>
    <xf numFmtId="0" fontId="40" fillId="31" borderId="4" xfId="0" applyFont="1" applyFill="1" applyBorder="1" applyAlignment="1">
      <alignment horizontal="center" vertical="center"/>
    </xf>
    <xf numFmtId="0" fontId="5" fillId="3" borderId="3" xfId="0" applyFont="1" applyFill="1" applyBorder="1">
      <alignment vertical="top"/>
    </xf>
    <xf numFmtId="0" fontId="41" fillId="20" borderId="4" xfId="0" applyFont="1" applyFill="1" applyBorder="1" applyAlignment="1">
      <alignment horizontal="center" vertical="center"/>
    </xf>
    <xf numFmtId="0" fontId="42" fillId="22" borderId="4" xfId="0" applyFont="1" applyFill="1" applyBorder="1" applyAlignment="1">
      <alignment horizontal="center" vertical="center"/>
    </xf>
    <xf numFmtId="0" fontId="43" fillId="23" borderId="4" xfId="0" applyFont="1" applyFill="1" applyBorder="1" applyAlignment="1">
      <alignment horizontal="center" vertical="center"/>
    </xf>
    <xf numFmtId="0" fontId="44" fillId="26" borderId="4" xfId="0" applyFont="1" applyFill="1" applyBorder="1" applyAlignment="1">
      <alignment horizontal="center" vertical="center"/>
    </xf>
    <xf numFmtId="0" fontId="45" fillId="14" borderId="1" xfId="0" applyFont="1" applyFill="1" applyAlignment="1">
      <alignment horizontal="center" vertical="center"/>
    </xf>
    <xf numFmtId="0" fontId="46" fillId="20" borderId="4" xfId="0" applyFont="1" applyFill="1" applyBorder="1" applyAlignment="1">
      <alignment horizontal="center" vertical="center"/>
    </xf>
    <xf numFmtId="0" fontId="47" fillId="0" borderId="1" xfId="0" applyFont="1" applyAlignment="1">
      <alignment horizontal="center" vertical="center"/>
    </xf>
    <xf numFmtId="0" fontId="26" fillId="5" borderId="2" xfId="0" applyFont="1" applyFill="1" applyBorder="1" applyAlignment="1">
      <alignment horizontal="center" vertical="center"/>
    </xf>
    <xf numFmtId="0" fontId="9" fillId="7" borderId="3" xfId="0" applyFont="1" applyFill="1" applyBorder="1" applyAlignment="1">
      <alignment horizontal="center" vertical="center"/>
    </xf>
    <xf numFmtId="0" fontId="10" fillId="3" borderId="3" xfId="0" applyFont="1" applyFill="1" applyBorder="1">
      <alignment vertical="top"/>
    </xf>
    <xf numFmtId="0" fontId="11" fillId="4" borderId="3" xfId="0" applyFont="1" applyFill="1" applyBorder="1">
      <alignment vertical="top"/>
    </xf>
    <xf numFmtId="0" fontId="22" fillId="30" borderId="4" xfId="0" applyFont="1" applyFill="1" applyBorder="1" applyAlignment="1">
      <alignment horizontal="right" vertical="center"/>
    </xf>
    <xf numFmtId="0" fontId="51" fillId="31" borderId="4" xfId="0" applyFont="1" applyFill="1" applyBorder="1" applyAlignment="1">
      <alignment horizontal="left" vertical="center"/>
    </xf>
    <xf numFmtId="0" fontId="37" fillId="25" borderId="1" xfId="0" applyFont="1" applyFill="1" applyAlignment="1">
      <alignment horizontal="right" vertical="center"/>
    </xf>
    <xf numFmtId="0" fontId="52" fillId="17" borderId="31" xfId="0" applyFont="1" applyFill="1" applyBorder="1" applyAlignment="1">
      <alignment horizontal="center" vertical="center"/>
    </xf>
    <xf numFmtId="0" fontId="44" fillId="32" borderId="1" xfId="0" applyFont="1" applyFill="1" applyAlignment="1">
      <alignment horizontal="right" vertical="center"/>
    </xf>
    <xf numFmtId="0" fontId="23" fillId="18" borderId="1" xfId="0" applyFont="1" applyFill="1" applyAlignment="1">
      <alignment horizontal="left" vertical="center"/>
    </xf>
    <xf numFmtId="0" fontId="22" fillId="30" borderId="1" xfId="0" applyFont="1" applyFill="1" applyAlignment="1">
      <alignment horizontal="right" vertical="center"/>
    </xf>
    <xf numFmtId="0" fontId="53" fillId="20" borderId="1" xfId="0" applyFont="1" applyFill="1" applyAlignment="1">
      <alignment horizontal="left" vertical="center"/>
    </xf>
    <xf numFmtId="0" fontId="20" fillId="15" borderId="1" xfId="0" applyFont="1" applyFill="1" applyAlignment="1">
      <alignment horizontal="center" vertical="center"/>
    </xf>
    <xf numFmtId="0" fontId="42" fillId="33" borderId="2" xfId="0" applyFont="1" applyFill="1" applyBorder="1" applyAlignment="1">
      <alignment horizontal="left" vertical="center"/>
    </xf>
    <xf numFmtId="0" fontId="54" fillId="20" borderId="2" xfId="0" applyFont="1" applyFill="1" applyBorder="1" applyAlignment="1">
      <alignment horizontal="left" vertical="center"/>
    </xf>
    <xf numFmtId="0" fontId="43" fillId="34" borderId="1" xfId="0" applyFont="1" applyFill="1" applyAlignment="1">
      <alignment horizontal="left" vertical="center"/>
    </xf>
    <xf numFmtId="0" fontId="54" fillId="20" borderId="1" xfId="0" applyFont="1" applyFill="1" applyAlignment="1">
      <alignment horizontal="left" vertical="center"/>
    </xf>
    <xf numFmtId="0" fontId="44" fillId="35" borderId="1" xfId="0" applyFont="1" applyFill="1" applyAlignment="1">
      <alignment horizontal="left" vertical="center"/>
    </xf>
    <xf numFmtId="0" fontId="43" fillId="23" borderId="1" xfId="0" applyFont="1" applyFill="1" applyAlignment="1">
      <alignment horizontal="right" vertical="center"/>
    </xf>
    <xf numFmtId="0" fontId="56" fillId="20" borderId="1" xfId="0" applyFont="1" applyFill="1" applyAlignment="1">
      <alignment horizontal="left" vertical="center"/>
    </xf>
    <xf numFmtId="0" fontId="22" fillId="17" borderId="1" xfId="0" applyFont="1" applyFill="1" applyAlignment="1">
      <alignment horizontal="right" vertical="center"/>
    </xf>
    <xf numFmtId="0" fontId="56" fillId="18" borderId="1" xfId="0" applyFont="1" applyFill="1" applyAlignment="1">
      <alignment horizontal="left" vertical="center"/>
    </xf>
    <xf numFmtId="0" fontId="57" fillId="25" borderId="1" xfId="0" applyFont="1" applyFill="1" applyAlignment="1">
      <alignment horizontal="center" vertical="top"/>
    </xf>
    <xf numFmtId="0" fontId="58" fillId="32" borderId="4" xfId="0" applyFont="1" applyFill="1" applyBorder="1" applyAlignment="1">
      <alignment horizontal="right" vertical="top"/>
    </xf>
    <xf numFmtId="0" fontId="59" fillId="18" borderId="4" xfId="0" applyFont="1" applyFill="1" applyBorder="1" applyAlignment="1">
      <alignment horizontal="left" vertical="top"/>
    </xf>
    <xf numFmtId="0" fontId="60" fillId="30" borderId="4" xfId="0" applyFont="1" applyFill="1" applyBorder="1" applyAlignment="1">
      <alignment horizontal="right" vertical="top"/>
    </xf>
    <xf numFmtId="0" fontId="61" fillId="20" borderId="4" xfId="0" applyFont="1" applyFill="1" applyBorder="1" applyAlignment="1">
      <alignment horizontal="left" vertical="top"/>
    </xf>
    <xf numFmtId="0" fontId="62" fillId="16" borderId="4" xfId="0" applyFont="1" applyFill="1" applyBorder="1" applyAlignment="1">
      <alignment horizontal="right" vertical="top"/>
    </xf>
    <xf numFmtId="0" fontId="63" fillId="19" borderId="4" xfId="0" applyFont="1" applyFill="1" applyBorder="1" applyAlignment="1">
      <alignment horizontal="left" vertical="top"/>
    </xf>
    <xf numFmtId="0" fontId="62" fillId="21" borderId="4" xfId="0" applyFont="1" applyFill="1" applyBorder="1" applyAlignment="1">
      <alignment horizontal="right" vertical="center"/>
    </xf>
    <xf numFmtId="0" fontId="64" fillId="23" borderId="4" xfId="0" applyFont="1" applyFill="1" applyBorder="1" applyAlignment="1">
      <alignment horizontal="left" vertical="center"/>
    </xf>
    <xf numFmtId="0" fontId="22" fillId="30" borderId="33" xfId="0" applyFont="1" applyFill="1" applyBorder="1" applyAlignment="1">
      <alignment horizontal="right" vertical="center"/>
    </xf>
    <xf numFmtId="0" fontId="40" fillId="20" borderId="33" xfId="0" applyFont="1" applyFill="1" applyBorder="1" applyAlignment="1">
      <alignment horizontal="left" vertical="center"/>
    </xf>
    <xf numFmtId="0" fontId="37" fillId="21" borderId="33" xfId="0" applyFont="1" applyFill="1" applyBorder="1" applyAlignment="1">
      <alignment horizontal="right" vertical="center"/>
    </xf>
    <xf numFmtId="0" fontId="65" fillId="23" borderId="33" xfId="0" applyFont="1" applyFill="1" applyBorder="1" applyAlignment="1">
      <alignment horizontal="left" vertical="center"/>
    </xf>
    <xf numFmtId="0" fontId="21" fillId="14" borderId="31" xfId="0" applyFont="1" applyFill="1" applyBorder="1" applyAlignment="1">
      <alignment horizontal="right" vertical="center"/>
    </xf>
    <xf numFmtId="0" fontId="33" fillId="17" borderId="31" xfId="0" applyFont="1" applyFill="1" applyBorder="1" applyAlignment="1">
      <alignment horizontal="left" vertical="center"/>
    </xf>
    <xf numFmtId="0" fontId="12" fillId="8" borderId="2" xfId="0" applyFont="1" applyFill="1" applyBorder="1" applyAlignment="1">
      <alignment horizontal="center" vertical="center"/>
    </xf>
    <xf numFmtId="0" fontId="62" fillId="15" borderId="34" xfId="0" applyFont="1" applyFill="1" applyBorder="1" applyAlignment="1">
      <alignment horizontal="center" vertical="center"/>
    </xf>
    <xf numFmtId="0" fontId="2" fillId="3" borderId="2" xfId="0" applyFont="1" applyFill="1" applyBorder="1" applyAlignment="1">
      <alignment horizontal="left" vertical="top"/>
    </xf>
    <xf numFmtId="0" fontId="26" fillId="3" borderId="2" xfId="0" applyFont="1" applyFill="1" applyBorder="1" applyAlignment="1">
      <alignment horizontal="center" vertical="top"/>
    </xf>
    <xf numFmtId="0" fontId="5" fillId="4" borderId="3" xfId="0" applyFont="1" applyFill="1" applyBorder="1" applyAlignment="1">
      <alignment horizontal="center" vertical="center"/>
    </xf>
    <xf numFmtId="0" fontId="67" fillId="31" borderId="32" xfId="0" applyFont="1" applyFill="1" applyBorder="1" applyAlignment="1">
      <alignment horizontal="center" vertical="center"/>
    </xf>
    <xf numFmtId="0" fontId="13" fillId="9" borderId="3" xfId="0" applyFont="1" applyFill="1" applyBorder="1" applyAlignment="1">
      <alignment horizontal="left" vertical="top"/>
    </xf>
    <xf numFmtId="0" fontId="68" fillId="20" borderId="32" xfId="0" applyFont="1" applyFill="1" applyBorder="1" applyAlignment="1">
      <alignment horizontal="left" vertical="center"/>
    </xf>
    <xf numFmtId="0" fontId="69" fillId="16" borderId="32" xfId="0" applyFont="1" applyFill="1" applyBorder="1" applyAlignment="1">
      <alignment horizontal="center" vertical="center"/>
    </xf>
    <xf numFmtId="0" fontId="70" fillId="20" borderId="32" xfId="0" applyFont="1" applyFill="1" applyBorder="1" applyAlignment="1">
      <alignment horizontal="left" vertical="center"/>
    </xf>
    <xf numFmtId="0" fontId="71" fillId="17" borderId="32" xfId="0" applyFont="1" applyFill="1" applyBorder="1" applyAlignment="1">
      <alignment horizontal="center" vertical="center"/>
    </xf>
    <xf numFmtId="0" fontId="72" fillId="20" borderId="32" xfId="0" applyFont="1" applyFill="1" applyBorder="1" applyAlignment="1">
      <alignment horizontal="left" vertical="center"/>
    </xf>
    <xf numFmtId="0" fontId="14" fillId="2" borderId="2" xfId="0" applyFont="1" applyFill="1" applyBorder="1" applyAlignment="1">
      <alignment horizontal="center" vertical="center"/>
    </xf>
    <xf numFmtId="0" fontId="26" fillId="2" borderId="2" xfId="0" applyFont="1" applyFill="1" applyBorder="1">
      <alignment vertical="top"/>
    </xf>
    <xf numFmtId="0" fontId="73" fillId="14" borderId="35" xfId="0" applyFont="1" applyFill="1" applyBorder="1" applyAlignment="1">
      <alignment horizontal="left" vertical="center"/>
    </xf>
    <xf numFmtId="0" fontId="74" fillId="18" borderId="29" xfId="0" applyFont="1" applyFill="1" applyBorder="1" applyAlignment="1">
      <alignment horizontal="left" vertical="center"/>
    </xf>
    <xf numFmtId="0" fontId="5" fillId="10" borderId="3" xfId="0" applyFont="1" applyFill="1" applyBorder="1" applyAlignment="1">
      <alignment horizontal="center" vertical="center"/>
    </xf>
    <xf numFmtId="0" fontId="3" fillId="6" borderId="2" xfId="0" applyFont="1" applyFill="1" applyBorder="1" applyAlignment="1">
      <alignment horizontal="center" vertical="center"/>
    </xf>
    <xf numFmtId="0" fontId="26" fillId="6" borderId="2" xfId="0" applyFont="1" applyFill="1" applyBorder="1">
      <alignment vertical="top"/>
    </xf>
    <xf numFmtId="0" fontId="71" fillId="17" borderId="4" xfId="0" applyFont="1" applyFill="1" applyBorder="1" applyAlignment="1">
      <alignment horizontal="center" vertical="top"/>
    </xf>
    <xf numFmtId="0" fontId="60" fillId="18" borderId="4" xfId="0" applyFont="1" applyFill="1" applyBorder="1" applyAlignment="1">
      <alignment horizontal="left" vertical="top"/>
    </xf>
    <xf numFmtId="0" fontId="75" fillId="31" borderId="4" xfId="0" applyFont="1" applyFill="1" applyBorder="1" applyAlignment="1">
      <alignment horizontal="center" vertical="top"/>
    </xf>
    <xf numFmtId="0" fontId="76" fillId="19" borderId="4" xfId="0" applyFont="1" applyFill="1" applyBorder="1" applyAlignment="1">
      <alignment horizontal="center" vertical="top"/>
    </xf>
    <xf numFmtId="0" fontId="77" fillId="20" borderId="4" xfId="0" applyFont="1" applyFill="1" applyBorder="1" applyAlignment="1">
      <alignment horizontal="left" vertical="top"/>
    </xf>
    <xf numFmtId="0" fontId="79" fillId="15" borderId="4" xfId="0" applyFont="1" applyFill="1" applyBorder="1" applyAlignment="1">
      <alignment horizontal="center" vertical="center"/>
    </xf>
    <xf numFmtId="0" fontId="80" fillId="30" borderId="4" xfId="0" applyFont="1" applyFill="1" applyBorder="1" applyAlignment="1">
      <alignment horizontal="left" vertical="center"/>
    </xf>
    <xf numFmtId="0" fontId="81" fillId="30" borderId="4" xfId="0" applyFont="1" applyFill="1" applyBorder="1" applyAlignment="1">
      <alignment horizontal="center" vertical="center"/>
    </xf>
    <xf numFmtId="0" fontId="82" fillId="19" borderId="3" xfId="0" applyFont="1" applyFill="1" applyBorder="1" applyAlignment="1">
      <alignment horizontal="center" vertical="center"/>
    </xf>
    <xf numFmtId="0" fontId="81" fillId="19" borderId="4" xfId="0" applyFont="1" applyFill="1" applyBorder="1" applyAlignment="1">
      <alignment horizontal="center" vertical="center"/>
    </xf>
    <xf numFmtId="0" fontId="81" fillId="20" borderId="3" xfId="0" applyFont="1" applyFill="1" applyBorder="1" applyAlignment="1">
      <alignment horizontal="left" vertical="center"/>
    </xf>
    <xf numFmtId="0" fontId="83" fillId="20" borderId="0" xfId="0" applyFont="1" applyFill="1" applyBorder="1" applyAlignment="1">
      <alignment horizontal="center" vertical="center"/>
    </xf>
    <xf numFmtId="0" fontId="84" fillId="20" borderId="4" xfId="0" applyFont="1" applyFill="1" applyBorder="1" applyAlignment="1">
      <alignment horizontal="left" vertical="center"/>
    </xf>
    <xf numFmtId="0" fontId="85" fillId="14" borderId="3" xfId="0" applyFont="1" applyFill="1" applyBorder="1" applyAlignment="1">
      <alignment horizontal="center" vertical="center"/>
    </xf>
    <xf numFmtId="0" fontId="86" fillId="14" borderId="3" xfId="0" applyFont="1" applyFill="1" applyBorder="1" applyAlignment="1">
      <alignment horizontal="left" vertical="center"/>
    </xf>
    <xf numFmtId="0" fontId="87" fillId="18" borderId="29" xfId="0" applyFont="1" applyFill="1" applyBorder="1" applyAlignment="1">
      <alignment horizontal="left" vertical="center"/>
    </xf>
    <xf numFmtId="0" fontId="88" fillId="20" borderId="4" xfId="0" applyFont="1" applyFill="1" applyBorder="1" applyAlignment="1">
      <alignment horizontal="left" vertical="center"/>
    </xf>
    <xf numFmtId="0" fontId="90" fillId="17" borderId="31" xfId="0" applyFont="1" applyFill="1" applyBorder="1" applyAlignment="1">
      <alignment horizontal="center" vertical="center"/>
    </xf>
    <xf numFmtId="0" fontId="91" fillId="20" borderId="3" xfId="0" applyFont="1" applyFill="1" applyBorder="1" applyAlignment="1">
      <alignment horizontal="center" vertical="center"/>
    </xf>
    <xf numFmtId="0" fontId="93" fillId="31" borderId="3" xfId="0" applyFont="1" applyFill="1" applyBorder="1" applyAlignment="1">
      <alignment horizontal="left" vertical="center"/>
    </xf>
    <xf numFmtId="0" fontId="82" fillId="17" borderId="4" xfId="0" applyFont="1" applyFill="1" applyBorder="1" applyAlignment="1">
      <alignment horizontal="center" vertical="center"/>
    </xf>
    <xf numFmtId="0" fontId="95" fillId="18" borderId="4" xfId="0" applyFont="1" applyFill="1" applyBorder="1" applyAlignment="1">
      <alignment horizontal="left" vertical="center"/>
    </xf>
    <xf numFmtId="0" fontId="81" fillId="31" borderId="4" xfId="0" applyFont="1" applyFill="1" applyBorder="1" applyAlignment="1">
      <alignment horizontal="center" vertical="center"/>
    </xf>
    <xf numFmtId="0" fontId="96" fillId="19" borderId="4" xfId="0" applyFont="1" applyFill="1" applyBorder="1" applyAlignment="1">
      <alignment horizontal="center" vertical="center"/>
    </xf>
    <xf numFmtId="0" fontId="81" fillId="20" borderId="4" xfId="0" applyFont="1" applyFill="1" applyBorder="1" applyAlignment="1">
      <alignment horizontal="left" vertical="center"/>
    </xf>
    <xf numFmtId="0" fontId="4" fillId="8" borderId="3" xfId="0" applyFont="1" applyFill="1" applyBorder="1" applyAlignment="1">
      <alignment horizontal="center" vertical="center"/>
    </xf>
    <xf numFmtId="0" fontId="62" fillId="8" borderId="36" xfId="0" applyFont="1" applyFill="1" applyBorder="1" applyAlignment="1">
      <alignment horizontal="center" vertical="center"/>
    </xf>
    <xf numFmtId="0" fontId="10" fillId="3" borderId="3" xfId="0" applyFont="1" applyFill="1" applyBorder="1" applyAlignment="1">
      <alignment horizontal="left" vertical="center"/>
    </xf>
    <xf numFmtId="49" fontId="97" fillId="9" borderId="3" xfId="0" applyNumberFormat="1" applyFont="1" applyFill="1" applyBorder="1" applyAlignment="1">
      <alignment horizontal="left" vertical="center"/>
    </xf>
    <xf numFmtId="0" fontId="10" fillId="4" borderId="3" xfId="0" applyFont="1" applyFill="1" applyBorder="1" applyAlignment="1">
      <alignment horizontal="center" vertical="center"/>
    </xf>
    <xf numFmtId="49" fontId="98" fillId="0" borderId="4" xfId="0" applyNumberFormat="1" applyFont="1" applyBorder="1" applyAlignment="1">
      <alignment horizontal="center" vertical="center"/>
    </xf>
    <xf numFmtId="0" fontId="99" fillId="30" borderId="3" xfId="0" applyFont="1" applyFill="1" applyBorder="1" applyAlignment="1">
      <alignment horizontal="left" vertical="center"/>
    </xf>
    <xf numFmtId="49" fontId="97" fillId="20" borderId="3" xfId="0" applyNumberFormat="1" applyFont="1" applyFill="1" applyBorder="1" applyAlignment="1">
      <alignment horizontal="left" vertical="center"/>
    </xf>
    <xf numFmtId="0" fontId="99" fillId="19" borderId="3" xfId="0" applyFont="1" applyFill="1" applyBorder="1" applyAlignment="1">
      <alignment horizontal="center" vertical="center"/>
    </xf>
    <xf numFmtId="0" fontId="58" fillId="32" borderId="4" xfId="0" applyFont="1" applyFill="1" applyBorder="1" applyAlignment="1">
      <alignment horizontal="center" vertical="center"/>
    </xf>
    <xf numFmtId="0" fontId="100" fillId="36" borderId="4" xfId="0" applyFont="1" applyFill="1" applyBorder="1" applyAlignment="1">
      <alignment horizontal="center" vertical="center"/>
    </xf>
    <xf numFmtId="0" fontId="101" fillId="37" borderId="4" xfId="0" applyFont="1" applyFill="1" applyBorder="1" applyAlignment="1">
      <alignment horizontal="center" vertical="center"/>
    </xf>
    <xf numFmtId="0" fontId="102" fillId="15" borderId="1" xfId="0" applyFont="1" applyFill="1" applyAlignment="1">
      <alignment horizontal="center" vertical="center"/>
    </xf>
    <xf numFmtId="0" fontId="103" fillId="30" borderId="1" xfId="0" applyFont="1" applyFill="1" applyAlignment="1">
      <alignment horizontal="left" vertical="center"/>
    </xf>
    <xf numFmtId="0" fontId="104" fillId="18" borderId="1" xfId="0" applyFont="1" applyFill="1" applyAlignment="1">
      <alignment horizontal="center" vertical="center"/>
    </xf>
    <xf numFmtId="0" fontId="103" fillId="0" borderId="1" xfId="0" applyFont="1" applyAlignment="1">
      <alignment horizontal="center" vertical="center"/>
    </xf>
    <xf numFmtId="0" fontId="105" fillId="17" borderId="1" xfId="0" applyFont="1" applyFill="1" applyAlignment="1">
      <alignment horizontal="center" vertical="center"/>
    </xf>
    <xf numFmtId="0" fontId="20" fillId="14" borderId="1" xfId="0" applyFont="1" applyFill="1" applyAlignment="1">
      <alignment horizontal="center" vertical="center"/>
    </xf>
    <xf numFmtId="0" fontId="17" fillId="11" borderId="2" xfId="0" applyFont="1" applyFill="1" applyBorder="1" applyAlignment="1">
      <alignment horizontal="center" vertical="center"/>
    </xf>
    <xf numFmtId="0" fontId="17" fillId="12" borderId="2" xfId="0" applyFont="1" applyFill="1" applyBorder="1" applyAlignment="1">
      <alignment horizontal="center" vertical="center"/>
    </xf>
    <xf numFmtId="0" fontId="17" fillId="13" borderId="2" xfId="0" applyFont="1" applyFill="1" applyBorder="1" applyAlignment="1">
      <alignment horizontal="center" vertical="center"/>
    </xf>
    <xf numFmtId="0" fontId="2" fillId="7" borderId="2" xfId="0" applyFont="1" applyFill="1" applyBorder="1" applyAlignment="1">
      <alignment vertical="center"/>
    </xf>
    <xf numFmtId="0" fontId="106" fillId="19" borderId="1" xfId="0" applyFont="1" applyFill="1" applyAlignment="1">
      <alignment horizontal="center" vertical="center"/>
    </xf>
    <xf numFmtId="0" fontId="79" fillId="15" borderId="2" xfId="0" applyFont="1" applyFill="1" applyBorder="1" applyAlignment="1">
      <alignment horizontal="center" vertical="center"/>
    </xf>
    <xf numFmtId="0" fontId="107" fillId="22" borderId="4" xfId="0" applyFont="1" applyFill="1" applyBorder="1" applyAlignment="1">
      <alignment horizontal="center" vertical="center"/>
    </xf>
    <xf numFmtId="0" fontId="108" fillId="31" borderId="4" xfId="0" applyFont="1" applyFill="1" applyBorder="1" applyAlignment="1">
      <alignment horizontal="left" vertical="center"/>
    </xf>
    <xf numFmtId="0" fontId="109" fillId="20" borderId="4" xfId="0" applyFont="1" applyFill="1" applyBorder="1" applyAlignment="1">
      <alignment horizontal="left" vertical="center"/>
    </xf>
    <xf numFmtId="0" fontId="110" fillId="31" borderId="4" xfId="0" applyFont="1" applyFill="1" applyBorder="1" applyAlignment="1">
      <alignment horizontal="center" vertical="center"/>
    </xf>
    <xf numFmtId="0" fontId="110" fillId="0" borderId="4" xfId="0" applyFont="1" applyBorder="1" applyAlignment="1">
      <alignment horizontal="center" vertical="center"/>
    </xf>
    <xf numFmtId="0" fontId="111" fillId="23" borderId="4" xfId="0" applyFont="1" applyFill="1" applyBorder="1" applyAlignment="1">
      <alignment horizontal="center" vertical="center"/>
    </xf>
    <xf numFmtId="0" fontId="112" fillId="26" borderId="4" xfId="0" applyFont="1" applyFill="1" applyBorder="1" applyAlignment="1">
      <alignment horizontal="center" vertical="center"/>
    </xf>
    <xf numFmtId="0" fontId="113" fillId="36" borderId="4" xfId="0" applyFont="1" applyFill="1" applyBorder="1" applyAlignment="1">
      <alignment horizontal="center" vertical="center"/>
    </xf>
    <xf numFmtId="0" fontId="114" fillId="31" borderId="4" xfId="0" applyFont="1" applyFill="1" applyBorder="1" applyAlignment="1">
      <alignment horizontal="left" vertical="center"/>
    </xf>
    <xf numFmtId="0" fontId="115" fillId="20" borderId="4" xfId="0" applyFont="1" applyFill="1" applyBorder="1" applyAlignment="1">
      <alignment horizontal="left" vertical="center"/>
    </xf>
    <xf numFmtId="0" fontId="116" fillId="31" borderId="4" xfId="0" applyFont="1" applyFill="1" applyBorder="1" applyAlignment="1">
      <alignment horizontal="center" vertical="center"/>
    </xf>
    <xf numFmtId="0" fontId="116" fillId="0" borderId="4" xfId="0" applyFont="1" applyBorder="1" applyAlignment="1">
      <alignment horizontal="center" vertical="center"/>
    </xf>
    <xf numFmtId="0" fontId="117" fillId="14" borderId="0" xfId="0" applyFont="1" applyFill="1" applyBorder="1" applyAlignment="1">
      <alignment horizontal="right" vertical="center"/>
    </xf>
    <xf numFmtId="0" fontId="119" fillId="16" borderId="0" xfId="0" applyFont="1" applyFill="1" applyBorder="1" applyAlignment="1">
      <alignment horizontal="center" vertical="center"/>
    </xf>
    <xf numFmtId="0" fontId="118" fillId="17" borderId="0" xfId="0" applyFont="1" applyFill="1" applyBorder="1" applyAlignment="1">
      <alignment horizontal="center" vertical="center"/>
    </xf>
    <xf numFmtId="0" fontId="18" fillId="14" borderId="1" xfId="0" applyFont="1" applyFill="1" applyAlignment="1">
      <alignment horizontal="center" vertical="center"/>
    </xf>
    <xf numFmtId="0" fontId="0" fillId="0" borderId="1" xfId="0">
      <alignment vertical="top"/>
    </xf>
    <xf numFmtId="0" fontId="19" fillId="14" borderId="1" xfId="0" applyFont="1" applyFill="1" applyAlignment="1">
      <alignment horizontal="center" vertical="center"/>
    </xf>
    <xf numFmtId="0" fontId="20" fillId="15" borderId="2" xfId="0" applyFont="1" applyFill="1" applyBorder="1" applyAlignment="1">
      <alignment horizontal="center" vertical="center"/>
    </xf>
    <xf numFmtId="0" fontId="21" fillId="16" borderId="1" xfId="0" applyFont="1" applyFill="1" applyAlignment="1">
      <alignment horizontal="center" vertical="center"/>
    </xf>
    <xf numFmtId="0" fontId="21" fillId="14" borderId="2" xfId="0" applyFont="1" applyFill="1" applyBorder="1" applyAlignment="1">
      <alignment horizontal="center" vertical="center"/>
    </xf>
    <xf numFmtId="0" fontId="27" fillId="29" borderId="24" xfId="0" applyFont="1" applyFill="1" applyBorder="1" applyAlignment="1">
      <alignment horizontal="center" vertical="center"/>
    </xf>
    <xf numFmtId="0" fontId="37" fillId="29" borderId="26" xfId="0" applyFont="1" applyFill="1" applyBorder="1" applyAlignment="1">
      <alignment horizontal="center" vertical="center"/>
    </xf>
    <xf numFmtId="0" fontId="39" fillId="30" borderId="28" xfId="0" applyFont="1" applyFill="1" applyBorder="1" applyAlignment="1">
      <alignment horizontal="center" vertical="center"/>
    </xf>
    <xf numFmtId="0" fontId="37" fillId="14" borderId="2" xfId="0" applyFont="1" applyFill="1" applyBorder="1" applyAlignment="1">
      <alignment horizontal="center" vertical="center"/>
    </xf>
    <xf numFmtId="0" fontId="37" fillId="21" borderId="1" xfId="0" applyFont="1" applyFill="1" applyAlignment="1">
      <alignment horizontal="center" vertical="center"/>
    </xf>
    <xf numFmtId="0" fontId="48" fillId="18" borderId="29" xfId="0" applyFont="1" applyFill="1" applyBorder="1" applyAlignment="1">
      <alignment horizontal="center" vertical="center"/>
    </xf>
    <xf numFmtId="0" fontId="49" fillId="14" borderId="1" xfId="0" applyFont="1" applyFill="1" applyAlignment="1">
      <alignment horizontal="center" vertical="center"/>
    </xf>
    <xf numFmtId="0" fontId="7" fillId="2" borderId="1" xfId="0" applyFont="1" applyFill="1" applyAlignment="1">
      <alignment horizontal="center" vertical="center"/>
    </xf>
    <xf numFmtId="0" fontId="8" fillId="6" borderId="1" xfId="0" applyFont="1" applyFill="1" applyAlignment="1">
      <alignment horizontal="center" vertical="center"/>
    </xf>
    <xf numFmtId="0" fontId="50" fillId="16" borderId="30" xfId="0" applyFont="1" applyFill="1" applyBorder="1" applyAlignment="1">
      <alignment horizontal="center" vertical="center"/>
    </xf>
    <xf numFmtId="0" fontId="22" fillId="18" borderId="4" xfId="0" applyFont="1" applyFill="1" applyBorder="1" applyAlignment="1">
      <alignment horizontal="center" vertical="center"/>
    </xf>
    <xf numFmtId="0" fontId="21" fillId="14" borderId="1" xfId="0" applyFont="1" applyFill="1" applyAlignment="1">
      <alignment horizontal="center" vertical="center"/>
    </xf>
    <xf numFmtId="0" fontId="21" fillId="25" borderId="1" xfId="0" applyFont="1" applyFill="1" applyAlignment="1">
      <alignment horizontal="center" vertical="center"/>
    </xf>
    <xf numFmtId="0" fontId="37" fillId="14" borderId="1" xfId="0" applyFont="1" applyFill="1" applyAlignment="1">
      <alignment horizontal="center" vertical="center"/>
    </xf>
    <xf numFmtId="0" fontId="20" fillId="21" borderId="1" xfId="0" applyFont="1" applyFill="1" applyAlignment="1">
      <alignment horizontal="center" vertical="center"/>
    </xf>
    <xf numFmtId="0" fontId="0" fillId="14" borderId="1" xfId="0" applyFill="1">
      <alignment vertical="top"/>
    </xf>
    <xf numFmtId="0" fontId="0" fillId="25" borderId="1" xfId="0" applyFill="1">
      <alignment vertical="top"/>
    </xf>
    <xf numFmtId="0" fontId="0" fillId="16" borderId="1" xfId="0" applyFill="1">
      <alignment vertical="top"/>
    </xf>
    <xf numFmtId="0" fontId="55" fillId="36" borderId="32" xfId="0" applyFont="1" applyFill="1" applyBorder="1" applyAlignment="1">
      <alignment horizontal="left" vertical="center"/>
    </xf>
    <xf numFmtId="0" fontId="54" fillId="20" borderId="32" xfId="0" applyFont="1" applyFill="1" applyBorder="1" applyAlignment="1">
      <alignment horizontal="left" vertical="center"/>
    </xf>
    <xf numFmtId="0" fontId="55" fillId="19" borderId="32" xfId="0" applyFont="1" applyFill="1" applyBorder="1" applyAlignment="1">
      <alignment horizontal="right" vertical="center"/>
    </xf>
    <xf numFmtId="0" fontId="56" fillId="20" borderId="32" xfId="0" applyFont="1" applyFill="1" applyBorder="1" applyAlignment="1">
      <alignment horizontal="left" vertical="center"/>
    </xf>
    <xf numFmtId="0" fontId="0" fillId="28" borderId="1" xfId="0" applyFill="1">
      <alignment vertical="top"/>
    </xf>
    <xf numFmtId="0" fontId="66" fillId="14" borderId="1" xfId="0" applyFont="1" applyFill="1" applyAlignment="1">
      <alignment horizontal="center" vertical="center"/>
    </xf>
    <xf numFmtId="0" fontId="14" fillId="2" borderId="2" xfId="0" applyFont="1" applyFill="1" applyBorder="1" applyAlignment="1">
      <alignment horizontal="right" vertical="center"/>
    </xf>
    <xf numFmtId="0" fontId="14" fillId="8" borderId="2" xfId="0" applyFont="1" applyFill="1" applyBorder="1" applyAlignment="1">
      <alignment horizontal="center" vertical="center"/>
    </xf>
    <xf numFmtId="0" fontId="2" fillId="3" borderId="2" xfId="0" applyFont="1" applyFill="1" applyBorder="1" applyAlignment="1">
      <alignment horizontal="left" vertical="top"/>
    </xf>
    <xf numFmtId="0" fontId="3" fillId="6" borderId="2" xfId="0" applyFont="1" applyFill="1" applyBorder="1" applyAlignment="1">
      <alignment horizontal="right" vertical="center"/>
    </xf>
    <xf numFmtId="0" fontId="15" fillId="7" borderId="2" xfId="0" applyFont="1" applyFill="1" applyBorder="1" applyAlignment="1">
      <alignment horizontal="center" vertical="center"/>
    </xf>
    <xf numFmtId="0" fontId="26" fillId="5" borderId="2" xfId="0" applyFont="1" applyFill="1" applyBorder="1">
      <alignment vertical="top"/>
    </xf>
    <xf numFmtId="0" fontId="69" fillId="25" borderId="1" xfId="0" applyFont="1" applyFill="1" applyAlignment="1">
      <alignment horizontal="center" vertical="top"/>
    </xf>
    <xf numFmtId="0" fontId="62" fillId="15" borderId="4" xfId="0" applyFont="1" applyFill="1" applyBorder="1" applyAlignment="1">
      <alignment horizontal="center" vertical="top"/>
    </xf>
    <xf numFmtId="0" fontId="71" fillId="17" borderId="4" xfId="0" applyFont="1" applyFill="1" applyBorder="1" applyAlignment="1">
      <alignment horizontal="center" vertical="top"/>
    </xf>
    <xf numFmtId="0" fontId="60" fillId="18" borderId="4" xfId="0" applyFont="1" applyFill="1" applyBorder="1" applyAlignment="1">
      <alignment horizontal="left" vertical="top"/>
    </xf>
    <xf numFmtId="0" fontId="75" fillId="31" borderId="4" xfId="0" applyFont="1" applyFill="1" applyBorder="1" applyAlignment="1">
      <alignment horizontal="center" vertical="top"/>
    </xf>
    <xf numFmtId="0" fontId="76" fillId="19" borderId="4" xfId="0" applyFont="1" applyFill="1" applyBorder="1" applyAlignment="1">
      <alignment horizontal="center" vertical="top"/>
    </xf>
    <xf numFmtId="0" fontId="77" fillId="20" borderId="4" xfId="0" applyFont="1" applyFill="1" applyBorder="1" applyAlignment="1">
      <alignment horizontal="left" vertical="top"/>
    </xf>
    <xf numFmtId="0" fontId="78" fillId="14" borderId="0" xfId="0" applyFont="1" applyFill="1" applyBorder="1" applyAlignment="1">
      <alignment horizontal="center" vertical="center"/>
    </xf>
    <xf numFmtId="0" fontId="85" fillId="14" borderId="3" xfId="0" applyFont="1" applyFill="1" applyBorder="1" applyAlignment="1">
      <alignment horizontal="right" vertical="center"/>
    </xf>
    <xf numFmtId="0" fontId="79" fillId="15" borderId="4" xfId="0" applyFont="1" applyFill="1" applyBorder="1" applyAlignment="1">
      <alignment horizontal="center" vertical="center"/>
    </xf>
    <xf numFmtId="0" fontId="80" fillId="30" borderId="4" xfId="0" applyFont="1" applyFill="1" applyBorder="1" applyAlignment="1">
      <alignment horizontal="left" vertical="center"/>
    </xf>
    <xf numFmtId="0" fontId="89" fillId="25" borderId="3" xfId="0" applyFont="1" applyFill="1" applyBorder="1" applyAlignment="1">
      <alignment horizontal="right" vertical="center"/>
    </xf>
    <xf numFmtId="0" fontId="85" fillId="15" borderId="3" xfId="0" applyFont="1" applyFill="1" applyBorder="1" applyAlignment="1">
      <alignment horizontal="right" vertical="center"/>
    </xf>
    <xf numFmtId="0" fontId="92" fillId="15" borderId="3" xfId="0" applyFont="1" applyFill="1" applyBorder="1" applyAlignment="1">
      <alignment horizontal="right" vertical="center"/>
    </xf>
    <xf numFmtId="0" fontId="94" fillId="25" borderId="3" xfId="0" applyFont="1" applyFill="1" applyBorder="1" applyAlignment="1">
      <alignment horizontal="center" vertical="center"/>
    </xf>
    <xf numFmtId="0" fontId="69" fillId="14" borderId="1" xfId="0" applyFont="1" applyFill="1" applyAlignment="1">
      <alignment horizontal="center" vertical="center"/>
    </xf>
    <xf numFmtId="0" fontId="20" fillId="25" borderId="1" xfId="0" applyFont="1" applyFill="1" applyAlignment="1">
      <alignment horizontal="center" vertical="center"/>
    </xf>
    <xf numFmtId="0" fontId="3" fillId="2" borderId="1" xfId="0" applyFont="1" applyFill="1" applyAlignment="1">
      <alignment horizontal="center" vertical="center"/>
    </xf>
    <xf numFmtId="0" fontId="20" fillId="14" borderId="1" xfId="0" applyFont="1" applyFill="1" applyAlignment="1">
      <alignment horizontal="center" vertical="center"/>
    </xf>
    <xf numFmtId="0" fontId="26" fillId="0" borderId="2" xfId="0" applyFont="1" applyBorder="1" applyAlignment="1">
      <alignment vertical="center"/>
    </xf>
    <xf numFmtId="0" fontId="6" fillId="4" borderId="3" xfId="0" applyFont="1" applyFill="1" applyBorder="1" applyAlignment="1">
      <alignment horizontal="left" vertical="top"/>
    </xf>
    <xf numFmtId="0" fontId="26" fillId="5" borderId="2" xfId="0" applyFont="1" applyFill="1" applyBorder="1" applyAlignment="1">
      <alignment vertical="center"/>
    </xf>
    <xf numFmtId="0" fontId="16" fillId="6" borderId="1" xfId="0" applyFont="1" applyFill="1" applyAlignment="1">
      <alignment horizontal="center" vertical="center"/>
    </xf>
    <xf numFmtId="0" fontId="80" fillId="18" borderId="0" xfId="0" applyFont="1" applyFill="1" applyBorder="1" applyAlignment="1">
      <alignment horizontal="center" vertical="center"/>
    </xf>
    <xf numFmtId="0" fontId="118" fillId="18" borderId="0" xfId="0" applyFont="1" applyFill="1" applyBorder="1" applyAlignment="1">
      <alignment horizontal="left" vertical="center"/>
    </xf>
    <xf numFmtId="0" fontId="120" fillId="5" borderId="3" xfId="0" applyFont="1" applyFill="1" applyBorder="1" applyAlignment="1">
      <alignment horizontal="left" vertical="top" wrapText="1"/>
    </xf>
  </cellXfs>
  <cellStyles count="1">
    <cellStyle name="Normal" xfId="0" builtinId="0"/>
  </cellStyles>
  <dxfs count="22">
    <dxf>
      <font>
        <b/>
        <i val="0"/>
        <sz val="12"/>
        <color rgb="FFFFFFFF"/>
        <name val="Aptos Narrow"/>
      </font>
      <fill>
        <patternFill patternType="solid">
          <fgColor rgb="FF00B050"/>
          <bgColor rgb="FF00B050"/>
        </patternFill>
      </fill>
      <alignment horizontal="center"/>
    </dxf>
    <dxf>
      <font>
        <b/>
        <i val="0"/>
        <sz val="12"/>
        <color rgb="FF808080"/>
        <name val="Aptos Narrow"/>
      </font>
      <fill>
        <patternFill patternType="solid">
          <fgColor rgb="FFF2F2F2"/>
          <bgColor rgb="FFF2F2F2"/>
        </patternFill>
      </fill>
      <alignment horizontal="center"/>
    </dxf>
    <dxf>
      <font>
        <b/>
        <i val="0"/>
        <sz val="11"/>
        <color rgb="FFFFFFFF"/>
        <name val="Calibri"/>
      </font>
      <fill>
        <patternFill patternType="solid">
          <fgColor rgb="FF70AD47"/>
          <bgColor rgb="FF70AD47"/>
        </patternFill>
      </fill>
    </dxf>
    <dxf>
      <font>
        <b/>
        <i val="0"/>
        <sz val="11"/>
        <name val="Calibri"/>
      </font>
      <fill>
        <patternFill patternType="solid">
          <fgColor rgb="FFA9D08E"/>
          <bgColor rgb="FFA9D08E"/>
        </patternFill>
      </fill>
    </dxf>
    <dxf>
      <font>
        <b/>
        <i val="0"/>
        <sz val="11"/>
        <name val="Calibri"/>
      </font>
      <fill>
        <patternFill patternType="solid">
          <fgColor rgb="FFFFE699"/>
          <bgColor rgb="FFFFE699"/>
        </patternFill>
      </fill>
    </dxf>
    <dxf>
      <font>
        <b/>
        <i val="0"/>
        <sz val="11"/>
        <name val="Calibri"/>
      </font>
      <fill>
        <patternFill patternType="solid">
          <fgColor rgb="FFF4B084"/>
          <bgColor rgb="FFF4B084"/>
        </patternFill>
      </fill>
    </dxf>
    <dxf>
      <font>
        <b/>
        <i val="0"/>
        <sz val="12"/>
        <color rgb="FF1F4E79"/>
        <name val="Aptos Narrow"/>
      </font>
      <fill>
        <patternFill patternType="solid">
          <fgColor rgb="FFBDD7EE"/>
          <bgColor rgb="FFBDD7EE"/>
        </patternFill>
      </fill>
    </dxf>
    <dxf>
      <font>
        <b/>
        <i val="0"/>
        <sz val="12"/>
        <color rgb="FF5F497A"/>
        <name val="Aptos Narrow"/>
      </font>
      <fill>
        <patternFill patternType="solid">
          <fgColor rgb="FFCCC0DA"/>
          <bgColor rgb="FFCCC0DA"/>
        </patternFill>
      </fill>
    </dxf>
    <dxf>
      <font>
        <b/>
        <i val="0"/>
        <sz val="12"/>
        <color rgb="FF833C0C"/>
        <name val="Aptos Narrow"/>
      </font>
      <fill>
        <patternFill patternType="solid">
          <fgColor rgb="FFF8CBAD"/>
          <bgColor rgb="FFF8CBAD"/>
        </patternFill>
      </fill>
    </dxf>
    <dxf>
      <font>
        <b/>
        <i val="0"/>
        <sz val="12"/>
        <color rgb="FF833C0C"/>
        <name val="Aptos Narrow"/>
      </font>
      <fill>
        <patternFill patternType="solid">
          <fgColor rgb="FFF4B084"/>
          <bgColor rgb="FFF4B084"/>
        </patternFill>
      </fill>
    </dxf>
    <dxf>
      <font>
        <b/>
        <i val="0"/>
        <sz val="12"/>
        <color rgb="FF7F6000"/>
        <name val="Aptos Narrow"/>
      </font>
      <fill>
        <patternFill patternType="solid">
          <fgColor rgb="FFFFE699"/>
          <bgColor rgb="FFFFE699"/>
        </patternFill>
      </fill>
    </dxf>
    <dxf>
      <font>
        <b/>
        <i val="0"/>
        <sz val="12"/>
        <color rgb="FF375623"/>
        <name val="Aptos Narrow"/>
      </font>
      <fill>
        <patternFill patternType="solid">
          <fgColor rgb="FFC6E0B4"/>
          <bgColor rgb="FFC6E0B4"/>
        </patternFill>
      </fill>
    </dxf>
    <dxf>
      <font>
        <color rgb="FF00B050"/>
      </font>
    </dxf>
    <dxf>
      <font>
        <color rgb="FFFFC000"/>
      </font>
    </dxf>
    <dxf>
      <font>
        <color rgb="FFBFBFBF"/>
      </font>
    </dxf>
    <dxf>
      <font>
        <color rgb="FFFFFFFF"/>
      </font>
      <fill>
        <patternFill patternType="solid">
          <fgColor rgb="FF00B050"/>
          <bgColor rgb="FF00B050"/>
        </patternFill>
      </fill>
    </dxf>
    <dxf>
      <font>
        <color rgb="FFFFFFFF"/>
      </font>
      <fill>
        <patternFill patternType="solid">
          <fgColor rgb="FF2E75B6"/>
          <bgColor rgb="FF2E75B6"/>
        </patternFill>
      </fill>
    </dxf>
    <dxf>
      <font>
        <color rgb="FF1F3864"/>
      </font>
      <fill>
        <patternFill patternType="solid">
          <fgColor rgb="FFFFC000"/>
          <bgColor rgb="FFFFC000"/>
        </patternFill>
      </fill>
    </dxf>
    <dxf>
      <font>
        <color rgb="FFFFFFFF"/>
      </font>
      <fill>
        <patternFill patternType="solid">
          <fgColor rgb="FFC00000"/>
          <bgColor rgb="FFC00000"/>
        </patternFill>
      </fill>
    </dxf>
    <dxf>
      <font>
        <b/>
        <i val="0"/>
        <sz val="14"/>
        <color rgb="FFFFFFFF"/>
        <name val="Aptos Narrow"/>
      </font>
      <fill>
        <patternFill patternType="solid">
          <fgColor rgb="FF00B050"/>
          <bgColor rgb="FF00B050"/>
        </patternFill>
      </fill>
    </dxf>
    <dxf>
      <font>
        <b/>
        <i val="0"/>
        <sz val="14"/>
        <color rgb="FF1F3864"/>
        <name val="Aptos Narrow"/>
      </font>
      <fill>
        <patternFill patternType="solid">
          <fgColor rgb="FFFFC000"/>
          <bgColor rgb="FFFFC000"/>
        </patternFill>
      </fill>
    </dxf>
    <dxf>
      <font>
        <b val="0"/>
        <i val="0"/>
        <sz val="12"/>
        <color rgb="FFBFBFBF"/>
        <name val="Aptos Narrow"/>
      </font>
      <fill>
        <patternFill patternType="solid">
          <fgColor rgb="FFF2F2F2"/>
          <bgColor rgb="FF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0">
                <a:solidFill>
                  <a:srgbClr val="333333"/>
                </a:solidFill>
                <a:latin typeface="Arial"/>
              </a:defRPr>
            </a:pPr>
            <a:r>
              <a:rPr lang="en-US" sz="1050" b="0">
                <a:solidFill>
                  <a:srgbClr val="333333"/>
                </a:solidFill>
                <a:latin typeface="Arial"/>
              </a:rPr>
              <a:t>4-Track Multi-Dimensional Fit Analysis</a:t>
            </a:r>
            <a:endParaRPr lang="en-US"/>
          </a:p>
        </c:rich>
      </c:tx>
      <c:overlay val="0"/>
      <c:spPr>
        <a:noFill/>
        <a:ln>
          <a:noFill/>
        </a:ln>
      </c:spPr>
    </c:title>
    <c:autoTitleDeleted val="0"/>
    <c:plotArea>
      <c:layout/>
      <c:radarChart>
        <c:radarStyle val="marker"/>
        <c:varyColors val="0"/>
        <c:ser>
          <c:idx val="0"/>
          <c:order val="0"/>
          <c:tx>
            <c:strRef>
              <c:f>FINAL_RECOMMENDATION!$B$33</c:f>
              <c:strCache>
                <c:ptCount val="1"/>
                <c:pt idx="0">
                  <c:v>AI Transformation</c:v>
                </c:pt>
              </c:strCache>
            </c:strRef>
          </c:tx>
          <c:spPr>
            <a:ln w="19050"/>
          </c:spPr>
          <c:marker>
            <c:symbol val="none"/>
          </c:marker>
          <c:cat>
            <c:strRef>
              <c:f>FINAL_RECOMMENDATION!$A$34:$A$38</c:f>
              <c:strCache>
                <c:ptCount val="5"/>
                <c:pt idx="0">
                  <c:v>Keyword Coverage</c:v>
                </c:pt>
                <c:pt idx="1">
                  <c:v>Pattern Match</c:v>
                </c:pt>
                <c:pt idx="2">
                  <c:v>Company Fit</c:v>
                </c:pt>
                <c:pt idx="3">
                  <c:v>Red Flag (inverted)</c:v>
                </c:pt>
                <c:pt idx="4">
                  <c:v>Final Score</c:v>
                </c:pt>
              </c:strCache>
            </c:strRef>
          </c:cat>
          <c:val>
            <c:numRef>
              <c:f>FINAL_RECOMMENDATION!$B$34:$B$38</c:f>
              <c:numCache>
                <c:formatCode>General</c:formatCode>
                <c:ptCount val="5"/>
                <c:pt idx="0">
                  <c:v>12</c:v>
                </c:pt>
                <c:pt idx="1">
                  <c:v>1</c:v>
                </c:pt>
                <c:pt idx="2">
                  <c:v>4</c:v>
                </c:pt>
                <c:pt idx="3">
                  <c:v>5</c:v>
                </c:pt>
                <c:pt idx="4">
                  <c:v>17</c:v>
                </c:pt>
              </c:numCache>
            </c:numRef>
          </c:val>
          <c:extLst>
            <c:ext xmlns:c16="http://schemas.microsoft.com/office/drawing/2014/chart" uri="{C3380CC4-5D6E-409C-BE32-E72D297353CC}">
              <c16:uniqueId val="{00000000-8920-4ED0-8B32-B1842C0352FF}"/>
            </c:ext>
          </c:extLst>
        </c:ser>
        <c:ser>
          <c:idx val="1"/>
          <c:order val="1"/>
          <c:tx>
            <c:strRef>
              <c:f>FINAL_RECOMMENDATION!$C$33</c:f>
              <c:strCache>
                <c:ptCount val="1"/>
                <c:pt idx="0">
                  <c:v>Technical PM</c:v>
                </c:pt>
              </c:strCache>
            </c:strRef>
          </c:tx>
          <c:spPr>
            <a:ln w="19050"/>
          </c:spPr>
          <c:marker>
            <c:symbol val="none"/>
          </c:marker>
          <c:cat>
            <c:strRef>
              <c:f>FINAL_RECOMMENDATION!$A$34:$A$38</c:f>
              <c:strCache>
                <c:ptCount val="5"/>
                <c:pt idx="0">
                  <c:v>Keyword Coverage</c:v>
                </c:pt>
                <c:pt idx="1">
                  <c:v>Pattern Match</c:v>
                </c:pt>
                <c:pt idx="2">
                  <c:v>Company Fit</c:v>
                </c:pt>
                <c:pt idx="3">
                  <c:v>Red Flag (inverted)</c:v>
                </c:pt>
                <c:pt idx="4">
                  <c:v>Final Score</c:v>
                </c:pt>
              </c:strCache>
            </c:strRef>
          </c:cat>
          <c:val>
            <c:numRef>
              <c:f>FINAL_RECOMMENDATION!$C$34:$C$38</c:f>
              <c:numCache>
                <c:formatCode>General</c:formatCode>
                <c:ptCount val="5"/>
                <c:pt idx="0">
                  <c:v>16</c:v>
                </c:pt>
                <c:pt idx="1">
                  <c:v>3</c:v>
                </c:pt>
                <c:pt idx="2">
                  <c:v>3</c:v>
                </c:pt>
                <c:pt idx="3">
                  <c:v>5</c:v>
                </c:pt>
                <c:pt idx="4">
                  <c:v>22</c:v>
                </c:pt>
              </c:numCache>
            </c:numRef>
          </c:val>
          <c:extLst>
            <c:ext xmlns:c16="http://schemas.microsoft.com/office/drawing/2014/chart" uri="{C3380CC4-5D6E-409C-BE32-E72D297353CC}">
              <c16:uniqueId val="{00000001-8920-4ED0-8B32-B1842C0352FF}"/>
            </c:ext>
          </c:extLst>
        </c:ser>
        <c:ser>
          <c:idx val="2"/>
          <c:order val="2"/>
          <c:tx>
            <c:strRef>
              <c:f>FINAL_RECOMMENDATION!$D$33</c:f>
              <c:strCache>
                <c:ptCount val="1"/>
                <c:pt idx="0">
                  <c:v>IT Delivery</c:v>
                </c:pt>
              </c:strCache>
            </c:strRef>
          </c:tx>
          <c:spPr>
            <a:ln w="19050"/>
          </c:spPr>
          <c:marker>
            <c:symbol val="none"/>
          </c:marker>
          <c:cat>
            <c:strRef>
              <c:f>FINAL_RECOMMENDATION!$A$34:$A$38</c:f>
              <c:strCache>
                <c:ptCount val="5"/>
                <c:pt idx="0">
                  <c:v>Keyword Coverage</c:v>
                </c:pt>
                <c:pt idx="1">
                  <c:v>Pattern Match</c:v>
                </c:pt>
                <c:pt idx="2">
                  <c:v>Company Fit</c:v>
                </c:pt>
                <c:pt idx="3">
                  <c:v>Red Flag (inverted)</c:v>
                </c:pt>
                <c:pt idx="4">
                  <c:v>Final Score</c:v>
                </c:pt>
              </c:strCache>
            </c:strRef>
          </c:cat>
          <c:val>
            <c:numRef>
              <c:f>FINAL_RECOMMENDATION!$D$34:$D$38</c:f>
              <c:numCache>
                <c:formatCode>General</c:formatCode>
                <c:ptCount val="5"/>
                <c:pt idx="0">
                  <c:v>6</c:v>
                </c:pt>
                <c:pt idx="1">
                  <c:v>1</c:v>
                </c:pt>
                <c:pt idx="2">
                  <c:v>2</c:v>
                </c:pt>
                <c:pt idx="3">
                  <c:v>5</c:v>
                </c:pt>
                <c:pt idx="4">
                  <c:v>9</c:v>
                </c:pt>
              </c:numCache>
            </c:numRef>
          </c:val>
          <c:extLst>
            <c:ext xmlns:c16="http://schemas.microsoft.com/office/drawing/2014/chart" uri="{C3380CC4-5D6E-409C-BE32-E72D297353CC}">
              <c16:uniqueId val="{00000002-8920-4ED0-8B32-B1842C0352FF}"/>
            </c:ext>
          </c:extLst>
        </c:ser>
        <c:ser>
          <c:idx val="3"/>
          <c:order val="3"/>
          <c:tx>
            <c:strRef>
              <c:f>FINAL_RECOMMENDATION!$E$33</c:f>
              <c:strCache>
                <c:ptCount val="1"/>
                <c:pt idx="0">
                  <c:v>Product Manager</c:v>
                </c:pt>
              </c:strCache>
            </c:strRef>
          </c:tx>
          <c:spPr>
            <a:ln w="19050"/>
          </c:spPr>
          <c:marker>
            <c:symbol val="none"/>
          </c:marker>
          <c:cat>
            <c:strRef>
              <c:f>FINAL_RECOMMENDATION!$A$34:$A$38</c:f>
              <c:strCache>
                <c:ptCount val="5"/>
                <c:pt idx="0">
                  <c:v>Keyword Coverage</c:v>
                </c:pt>
                <c:pt idx="1">
                  <c:v>Pattern Match</c:v>
                </c:pt>
                <c:pt idx="2">
                  <c:v>Company Fit</c:v>
                </c:pt>
                <c:pt idx="3">
                  <c:v>Red Flag (inverted)</c:v>
                </c:pt>
                <c:pt idx="4">
                  <c:v>Final Score</c:v>
                </c:pt>
              </c:strCache>
            </c:strRef>
          </c:cat>
          <c:val>
            <c:numRef>
              <c:f>FINAL_RECOMMENDATION!$E$34:$E$38</c:f>
              <c:numCache>
                <c:formatCode>General</c:formatCode>
                <c:ptCount val="5"/>
                <c:pt idx="0">
                  <c:v>12</c:v>
                </c:pt>
                <c:pt idx="1">
                  <c:v>3</c:v>
                </c:pt>
                <c:pt idx="2">
                  <c:v>1</c:v>
                </c:pt>
                <c:pt idx="3">
                  <c:v>5</c:v>
                </c:pt>
                <c:pt idx="4">
                  <c:v>16</c:v>
                </c:pt>
              </c:numCache>
            </c:numRef>
          </c:val>
          <c:extLst>
            <c:ext xmlns:c16="http://schemas.microsoft.com/office/drawing/2014/chart" uri="{C3380CC4-5D6E-409C-BE32-E72D297353CC}">
              <c16:uniqueId val="{00000003-8920-4ED0-8B32-B1842C0352FF}"/>
            </c:ext>
          </c:extLst>
        </c:ser>
        <c:dLbls>
          <c:showLegendKey val="0"/>
          <c:showVal val="0"/>
          <c:showCatName val="0"/>
          <c:showSerName val="0"/>
          <c:showPercent val="0"/>
          <c:showBubbleSize val="0"/>
        </c:dLbls>
        <c:axId val="88570205"/>
        <c:axId val="35961608"/>
      </c:radarChart>
      <c:catAx>
        <c:axId val="88570205"/>
        <c:scaling>
          <c:orientation val="minMax"/>
        </c:scaling>
        <c:delete val="0"/>
        <c:axPos val="b"/>
        <c:numFmt formatCode="General" sourceLinked="1"/>
        <c:majorTickMark val="none"/>
        <c:minorTickMark val="none"/>
        <c:tickLblPos val="nextTo"/>
        <c:spPr>
          <a:ln>
            <a:solidFill>
              <a:schemeClr val="tx1">
                <a:lumMod val="15000"/>
                <a:lumOff val="85000"/>
              </a:schemeClr>
            </a:solidFill>
          </a:ln>
        </c:spPr>
        <c:txPr>
          <a:bodyPr/>
          <a:lstStyle/>
          <a:p>
            <a:pPr>
              <a:defRPr sz="900" b="0">
                <a:solidFill>
                  <a:schemeClr val="tx1">
                    <a:lumMod val="65000"/>
                    <a:lumOff val="35000"/>
                  </a:schemeClr>
                </a:solidFill>
                <a:latin typeface="+mn-lt"/>
              </a:defRPr>
            </a:pPr>
            <a:endParaRPr lang="en-US"/>
          </a:p>
        </c:txPr>
        <c:crossAx val="35961608"/>
        <c:crosses val="autoZero"/>
        <c:auto val="1"/>
        <c:lblAlgn val="ctr"/>
        <c:lblOffset val="0"/>
        <c:tickMarkSkip val="1"/>
        <c:noMultiLvlLbl val="1"/>
      </c:catAx>
      <c:valAx>
        <c:axId val="35961608"/>
        <c:scaling>
          <c:orientation val="minMax"/>
        </c:scaling>
        <c:delete val="0"/>
        <c:axPos val="l"/>
        <c:majorGridlines>
          <c:spPr>
            <a:ln w="9525">
              <a:solidFill>
                <a:srgbClr val="D9D9D9"/>
              </a:solidFill>
            </a:ln>
          </c:spPr>
        </c:majorGridlines>
        <c:numFmt formatCode="General" sourceLinked="1"/>
        <c:majorTickMark val="none"/>
        <c:minorTickMark val="none"/>
        <c:tickLblPos val="nextTo"/>
        <c:spPr>
          <a:ln>
            <a:noFill/>
          </a:ln>
        </c:spPr>
        <c:txPr>
          <a:bodyPr/>
          <a:lstStyle/>
          <a:p>
            <a:pPr>
              <a:defRPr sz="900" b="0">
                <a:solidFill>
                  <a:schemeClr val="tx1">
                    <a:lumMod val="65000"/>
                    <a:lumOff val="35000"/>
                  </a:schemeClr>
                </a:solidFill>
                <a:latin typeface="+mn-lt"/>
              </a:defRPr>
            </a:pPr>
            <a:endParaRPr lang="en-US"/>
          </a:p>
        </c:txPr>
        <c:crossAx val="88570205"/>
        <c:crosses val="autoZero"/>
        <c:crossBetween val="between"/>
      </c:valAx>
      <c:spPr>
        <a:noFill/>
        <a:ln>
          <a:noFill/>
        </a:ln>
      </c:spPr>
    </c:plotArea>
    <c:legend>
      <c:legendPos val="r"/>
      <c:overlay val="0"/>
      <c:spPr>
        <a:noFill/>
      </c:spPr>
      <c:txPr>
        <a:bodyPr/>
        <a:lstStyle/>
        <a:p>
          <a:pPr>
            <a:defRPr sz="750" b="0">
              <a:solidFill>
                <a:schemeClr val="tx1">
                  <a:lumMod val="65000"/>
                  <a:lumOff val="35000"/>
                </a:schemeClr>
              </a:solidFill>
              <a:latin typeface="Arial"/>
            </a:defRPr>
          </a:pPr>
          <a:endParaRPr lang="en-US"/>
        </a:p>
      </c:txPr>
    </c:legend>
    <c:plotVisOnly val="1"/>
    <c:dispBlanksAs val="gap"/>
    <c:showDLblsOverMax val="0"/>
    <c:extLst/>
  </c:chart>
  <c:spPr>
    <a:solidFill>
      <a:schemeClr val="bg1"/>
    </a:solidFill>
    <a:ln w="9525">
      <a:solidFill>
        <a:schemeClr val="tx1">
          <a:lumMod val="15000"/>
          <a:lumOff val="85000"/>
        </a:schemeClr>
      </a:solidFill>
    </a:ln>
  </c:spPr>
  <c:txPr>
    <a:bodyPr/>
    <a:lstStyle/>
    <a:p>
      <a:pPr>
        <a:defRPr b="0">
          <a:solidFill>
            <a:schemeClr val="tx1">
              <a:lumMod val="65000"/>
              <a:lumOff val="35000"/>
            </a:schemeClr>
          </a:solidFill>
          <a:latin typeface="+mn-lt"/>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0">
                <a:solidFill>
                  <a:srgbClr val="333333"/>
                </a:solidFill>
                <a:latin typeface="Arial"/>
              </a:defRPr>
            </a:pPr>
            <a:r>
              <a:rPr lang="en-US" sz="1050" b="0">
                <a:solidFill>
                  <a:srgbClr val="333333"/>
                </a:solidFill>
                <a:latin typeface="Arial"/>
              </a:rPr>
              <a:t>4-Track Final Score Comparison</a:t>
            </a:r>
            <a:endParaRPr lang="en-US"/>
          </a:p>
        </c:rich>
      </c:tx>
      <c:overlay val="0"/>
      <c:spPr>
        <a:noFill/>
        <a:ln>
          <a:noFill/>
        </a:ln>
      </c:spPr>
    </c:title>
    <c:autoTitleDeleted val="0"/>
    <c:plotArea>
      <c:layout/>
      <c:barChart>
        <c:barDir val="bar"/>
        <c:grouping val="clustered"/>
        <c:varyColors val="0"/>
        <c:ser>
          <c:idx val="0"/>
          <c:order val="0"/>
          <c:tx>
            <c:strRef>
              <c:f>FINAL_RECOMMENDATION!$B$3</c:f>
              <c:strCache>
                <c:ptCount val="1"/>
                <c:pt idx="0">
                  <c:v>Final Score</c:v>
                </c:pt>
              </c:strCache>
            </c:strRef>
          </c:tx>
          <c:spPr>
            <a:solidFill>
              <a:schemeClr val="accent1"/>
            </a:solidFill>
          </c:spPr>
          <c:invertIfNegative val="0"/>
          <c:dLbls>
            <c:spPr>
              <a:noFill/>
              <a:ln>
                <a:noFill/>
              </a:ln>
            </c:sp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FINAL_RECOMMENDATION!$A$4:$A$7</c:f>
              <c:strCache>
                <c:ptCount val="4"/>
                <c:pt idx="0">
                  <c:v>AI Transformation Manager</c:v>
                </c:pt>
                <c:pt idx="1">
                  <c:v>Technical Program Manager</c:v>
                </c:pt>
                <c:pt idx="2">
                  <c:v>IT Delivery Manager</c:v>
                </c:pt>
                <c:pt idx="3">
                  <c:v>Product Manager</c:v>
                </c:pt>
              </c:strCache>
            </c:strRef>
          </c:cat>
          <c:val>
            <c:numRef>
              <c:f>FINAL_RECOMMENDATION!$B$4:$B$7</c:f>
              <c:numCache>
                <c:formatCode>General</c:formatCode>
                <c:ptCount val="4"/>
                <c:pt idx="0">
                  <c:v>17</c:v>
                </c:pt>
                <c:pt idx="1">
                  <c:v>22</c:v>
                </c:pt>
                <c:pt idx="2">
                  <c:v>9</c:v>
                </c:pt>
                <c:pt idx="3">
                  <c:v>16</c:v>
                </c:pt>
              </c:numCache>
            </c:numRef>
          </c:val>
          <c:extLst>
            <c:ext xmlns:c16="http://schemas.microsoft.com/office/drawing/2014/chart" uri="{C3380CC4-5D6E-409C-BE32-E72D297353CC}">
              <c16:uniqueId val="{00000000-6CED-43D1-9CBA-C2EE9725A839}"/>
            </c:ext>
          </c:extLst>
        </c:ser>
        <c:dLbls>
          <c:showLegendKey val="0"/>
          <c:showVal val="0"/>
          <c:showCatName val="0"/>
          <c:showSerName val="0"/>
          <c:showPercent val="0"/>
          <c:showBubbleSize val="0"/>
        </c:dLbls>
        <c:gapWidth val="182"/>
        <c:axId val="45093332"/>
        <c:axId val="60669196"/>
      </c:barChart>
      <c:catAx>
        <c:axId val="45093332"/>
        <c:scaling>
          <c:orientation val="minMax"/>
        </c:scaling>
        <c:delete val="0"/>
        <c:axPos val="l"/>
        <c:numFmt formatCode="General" sourceLinked="1"/>
        <c:majorTickMark val="none"/>
        <c:minorTickMark val="none"/>
        <c:tickLblPos val="nextTo"/>
        <c:spPr>
          <a:ln>
            <a:solidFill>
              <a:schemeClr val="tx1">
                <a:lumMod val="15000"/>
                <a:lumOff val="85000"/>
              </a:schemeClr>
            </a:solidFill>
          </a:ln>
        </c:spPr>
        <c:txPr>
          <a:bodyPr/>
          <a:lstStyle/>
          <a:p>
            <a:pPr>
              <a:defRPr sz="900" b="0">
                <a:solidFill>
                  <a:schemeClr val="tx1">
                    <a:lumMod val="65000"/>
                    <a:lumOff val="35000"/>
                  </a:schemeClr>
                </a:solidFill>
                <a:latin typeface="+mn-lt"/>
              </a:defRPr>
            </a:pPr>
            <a:endParaRPr lang="en-US"/>
          </a:p>
        </c:txPr>
        <c:crossAx val="60669196"/>
        <c:crosses val="autoZero"/>
        <c:auto val="1"/>
        <c:lblAlgn val="ctr"/>
        <c:lblOffset val="0"/>
        <c:tickMarkSkip val="1"/>
        <c:noMultiLvlLbl val="1"/>
      </c:catAx>
      <c:valAx>
        <c:axId val="60669196"/>
        <c:scaling>
          <c:orientation val="minMax"/>
        </c:scaling>
        <c:delete val="0"/>
        <c:axPos val="b"/>
        <c:majorGridlines>
          <c:spPr>
            <a:ln w="9525">
              <a:solidFill>
                <a:srgbClr val="D9D9D9"/>
              </a:solidFill>
            </a:ln>
          </c:spPr>
        </c:majorGridlines>
        <c:numFmt formatCode="General" sourceLinked="1"/>
        <c:majorTickMark val="none"/>
        <c:minorTickMark val="none"/>
        <c:tickLblPos val="nextTo"/>
        <c:spPr>
          <a:ln>
            <a:solidFill>
              <a:schemeClr val="tx1">
                <a:lumMod val="15000"/>
                <a:lumOff val="85000"/>
              </a:schemeClr>
            </a:solidFill>
          </a:ln>
        </c:spPr>
        <c:txPr>
          <a:bodyPr/>
          <a:lstStyle/>
          <a:p>
            <a:pPr>
              <a:defRPr sz="900" b="0">
                <a:solidFill>
                  <a:schemeClr val="tx1">
                    <a:lumMod val="65000"/>
                    <a:lumOff val="35000"/>
                  </a:schemeClr>
                </a:solidFill>
                <a:latin typeface="+mn-lt"/>
              </a:defRPr>
            </a:pPr>
            <a:endParaRPr lang="en-US"/>
          </a:p>
        </c:txPr>
        <c:crossAx val="45093332"/>
        <c:crosses val="autoZero"/>
        <c:crossBetween val="between"/>
      </c:valAx>
      <c:spPr>
        <a:noFill/>
        <a:ln>
          <a:noFill/>
        </a:ln>
      </c:spPr>
    </c:plotArea>
    <c:legend>
      <c:legendPos val="r"/>
      <c:overlay val="0"/>
      <c:spPr>
        <a:noFill/>
      </c:spPr>
      <c:txPr>
        <a:bodyPr/>
        <a:lstStyle/>
        <a:p>
          <a:pPr>
            <a:defRPr sz="750" b="0">
              <a:solidFill>
                <a:schemeClr val="tx1">
                  <a:lumMod val="65000"/>
                  <a:lumOff val="35000"/>
                </a:schemeClr>
              </a:solidFill>
              <a:latin typeface="Arial"/>
            </a:defRPr>
          </a:pPr>
          <a:endParaRPr lang="en-US"/>
        </a:p>
      </c:txPr>
    </c:legend>
    <c:plotVisOnly val="1"/>
    <c:dispBlanksAs val="gap"/>
    <c:showDLblsOverMax val="0"/>
    <c:extLst/>
  </c:chart>
  <c:spPr>
    <a:solidFill>
      <a:schemeClr val="bg1"/>
    </a:solidFill>
    <a:ln w="9525">
      <a:solidFill>
        <a:schemeClr val="tx1">
          <a:lumMod val="15000"/>
          <a:lumOff val="85000"/>
        </a:schemeClr>
      </a:solidFill>
    </a:ln>
  </c:spPr>
  <c:txPr>
    <a:bodyPr/>
    <a:lstStyle/>
    <a:p>
      <a:pPr>
        <a:defRPr b="0">
          <a:solidFill>
            <a:schemeClr val="tx1">
              <a:lumMod val="65000"/>
              <a:lumOff val="35000"/>
            </a:schemeClr>
          </a:solidFill>
          <a:latin typeface="+mn-lt"/>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38</xdr:row>
      <xdr:rowOff>85725</xdr:rowOff>
    </xdr:from>
    <xdr:to>
      <xdr:col>2</xdr:col>
      <xdr:colOff>914400</xdr:colOff>
      <xdr:row>52</xdr:row>
      <xdr:rowOff>161925</xdr:rowOff>
    </xdr:to>
    <xdr:graphicFrame macro="">
      <xdr:nvGraphicFramePr>
        <xdr:cNvPr id="2" name="FitRadarChart">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1104900</xdr:colOff>
      <xdr:row>38</xdr:row>
      <xdr:rowOff>85725</xdr:rowOff>
    </xdr:from>
    <xdr:to>
      <xdr:col>4</xdr:col>
      <xdr:colOff>190500</xdr:colOff>
      <xdr:row>52</xdr:row>
      <xdr:rowOff>161925</xdr:rowOff>
    </xdr:to>
    <xdr:graphicFrame macro="">
      <xdr:nvGraphicFramePr>
        <xdr:cNvPr id="3" name="ScoreBarChart">
          <a:extLst>
            <a:ext uri="{FF2B5EF4-FFF2-40B4-BE49-F238E27FC236}">
              <a16:creationId xmlns:a16="http://schemas.microsoft.com/office/drawing/2014/main"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genspark.ai/api/files/s/kaZPyfr7" TargetMode="External"/><Relationship Id="rId3" Type="http://schemas.openxmlformats.org/officeDocument/2006/relationships/hyperlink" Target="https://www.genspark.ai/api/files/s/IZDUqedH" TargetMode="External"/><Relationship Id="rId7" Type="http://schemas.openxmlformats.org/officeDocument/2006/relationships/hyperlink" Target="https://www.genspark.ai/api/files/s/BLpvZjmUt" TargetMode="External"/><Relationship Id="rId2" Type="http://schemas.openxmlformats.org/officeDocument/2006/relationships/hyperlink" Target="https://www.genspark.ai/api/files/s/SmDMp5LA" TargetMode="External"/><Relationship Id="rId1" Type="http://schemas.openxmlformats.org/officeDocument/2006/relationships/hyperlink" Target="https://www.genspark.ai/api/files/s/egkpAmHn" TargetMode="External"/><Relationship Id="rId6" Type="http://schemas.openxmlformats.org/officeDocument/2006/relationships/hyperlink" Target="https://www.genspark.ai/api/files/s/QUBpsO27r" TargetMode="External"/><Relationship Id="rId11" Type="http://schemas.openxmlformats.org/officeDocument/2006/relationships/hyperlink" Target="https://www.genspark.ai/api/files/s/lPnFfxiB" TargetMode="External"/><Relationship Id="rId5" Type="http://schemas.openxmlformats.org/officeDocument/2006/relationships/hyperlink" Target="https://www.genspark.ai/api/files/s/lPnFfxiB" TargetMode="External"/><Relationship Id="rId10" Type="http://schemas.openxmlformats.org/officeDocument/2006/relationships/hyperlink" Target="https://www.genspark.ai/api/files/s/PxGCoBuk" TargetMode="External"/><Relationship Id="rId4" Type="http://schemas.openxmlformats.org/officeDocument/2006/relationships/hyperlink" Target="https://www.genspark.ai/api/files/s/PxGCoBuk" TargetMode="External"/><Relationship Id="rId9" Type="http://schemas.openxmlformats.org/officeDocument/2006/relationships/hyperlink" Target="https://www.genspark.ai/api/files/s/lkUPzCNe"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96858-0638-53DC-7DAF-3DAD32E78698}">
  <dimension ref="A1:E34"/>
  <sheetViews>
    <sheetView workbookViewId="0">
      <pane ySplit="4" topLeftCell="A20" activePane="bottomLeft" state="frozen"/>
      <selection pane="bottomLeft" activeCell="E11" sqref="E11"/>
    </sheetView>
  </sheetViews>
  <sheetFormatPr defaultColWidth="8.85546875" defaultRowHeight="15" customHeight="1" x14ac:dyDescent="0.25"/>
  <cols>
    <col min="1" max="1" width="3.42578125" customWidth="1"/>
    <col min="2" max="2" width="35.5703125" customWidth="1"/>
    <col min="3" max="3" width="43.42578125" customWidth="1"/>
    <col min="4" max="4" width="36" customWidth="1"/>
    <col min="5" max="5" width="23.28515625" customWidth="1"/>
  </cols>
  <sheetData>
    <row r="1" spans="1:4" ht="33" customHeight="1" x14ac:dyDescent="0.25">
      <c r="A1" s="1"/>
      <c r="B1" s="164" t="s">
        <v>0</v>
      </c>
      <c r="C1" s="165"/>
      <c r="D1" s="165"/>
    </row>
    <row r="2" spans="1:4" ht="19.5" customHeight="1" x14ac:dyDescent="0.25">
      <c r="B2" s="166" t="s">
        <v>1</v>
      </c>
      <c r="C2" s="165"/>
      <c r="D2" s="165"/>
    </row>
    <row r="3" spans="1:4" ht="18" customHeight="1" x14ac:dyDescent="0.25">
      <c r="A3" s="2"/>
      <c r="B3" s="167" t="s">
        <v>2</v>
      </c>
      <c r="C3" s="165"/>
      <c r="D3" s="165"/>
    </row>
    <row r="4" spans="1:4" ht="7.5" customHeight="1" x14ac:dyDescent="0.25"/>
    <row r="5" spans="1:4" ht="22.5" customHeight="1" x14ac:dyDescent="0.25">
      <c r="A5" s="3"/>
      <c r="B5" s="168" t="s">
        <v>3</v>
      </c>
      <c r="C5" s="165"/>
      <c r="D5" s="165"/>
    </row>
    <row r="6" spans="1:4" ht="16.5" customHeight="1" x14ac:dyDescent="0.25">
      <c r="A6" s="2"/>
      <c r="B6" s="4" t="s">
        <v>4</v>
      </c>
      <c r="C6" s="4" t="s">
        <v>5</v>
      </c>
      <c r="D6" s="4" t="s">
        <v>6</v>
      </c>
    </row>
    <row r="7" spans="1:4" ht="24" customHeight="1" x14ac:dyDescent="0.25">
      <c r="A7" s="2"/>
      <c r="B7" s="5" t="s">
        <v>7</v>
      </c>
      <c r="C7" s="5" t="s">
        <v>8</v>
      </c>
      <c r="D7" s="5" t="s">
        <v>9</v>
      </c>
    </row>
    <row r="8" spans="1:4" ht="19.5" customHeight="1" x14ac:dyDescent="0.25">
      <c r="A8" s="2"/>
      <c r="B8" s="6" t="str">
        <f>HYPERLINK("#JD_INPUT!A1","→ Open JD_INPUT sheet")</f>
        <v>→ Open JD_INPUT sheet</v>
      </c>
      <c r="C8" s="7" t="s">
        <v>10</v>
      </c>
      <c r="D8" s="7" t="s">
        <v>11</v>
      </c>
    </row>
    <row r="9" spans="1:4" ht="7.5" customHeight="1" x14ac:dyDescent="0.25">
      <c r="A9" s="2"/>
      <c r="B9" s="8"/>
    </row>
    <row r="10" spans="1:4" ht="22.5" customHeight="1" x14ac:dyDescent="0.25">
      <c r="A10" s="2"/>
      <c r="B10" s="169" t="s">
        <v>12</v>
      </c>
      <c r="C10" s="165"/>
      <c r="D10" s="165"/>
    </row>
    <row r="11" spans="1:4" ht="30" customHeight="1" x14ac:dyDescent="0.25">
      <c r="B11" s="9" t="s">
        <v>13</v>
      </c>
      <c r="C11" s="10" t="s">
        <v>14</v>
      </c>
      <c r="D11" s="11" t="s">
        <v>15</v>
      </c>
    </row>
    <row r="12" spans="1:4" ht="18" customHeight="1" x14ac:dyDescent="0.25">
      <c r="A12" s="3"/>
      <c r="B12" s="12" t="str">
        <f>HYPERLINK("#JD_INPUT!A1","JD_INPUT")</f>
        <v>JD_INPUT</v>
      </c>
      <c r="C12" s="13" t="str">
        <f>HYPERLINK("#AI_SCORE!A1","AI_SCORE")</f>
        <v>AI_SCORE</v>
      </c>
      <c r="D12" s="14" t="str">
        <f>HYPERLINK("#TPM_SCORE!A1","TPM_SCORE")</f>
        <v>TPM_SCORE</v>
      </c>
    </row>
    <row r="13" spans="1:4" ht="27" customHeight="1" x14ac:dyDescent="0.25">
      <c r="A13" s="2"/>
      <c r="B13" s="15" t="s">
        <v>16</v>
      </c>
      <c r="C13" s="16" t="s">
        <v>17</v>
      </c>
      <c r="D13" s="17" t="s">
        <v>18</v>
      </c>
    </row>
    <row r="14" spans="1:4" ht="6" customHeight="1" x14ac:dyDescent="0.25">
      <c r="A14" s="2"/>
      <c r="B14" s="18"/>
    </row>
    <row r="15" spans="1:4" ht="30" customHeight="1" x14ac:dyDescent="0.25">
      <c r="A15" s="2"/>
      <c r="B15" s="19" t="s">
        <v>19</v>
      </c>
      <c r="C15" s="20" t="s">
        <v>20</v>
      </c>
      <c r="D15" s="21" t="s">
        <v>21</v>
      </c>
    </row>
    <row r="16" spans="1:4" ht="18" customHeight="1" x14ac:dyDescent="0.25">
      <c r="A16" s="2"/>
      <c r="B16" s="22" t="str">
        <f>HYPERLINK("#ITDM_SCORE!A1","ITDM_SCORE")</f>
        <v>ITDM_SCORE</v>
      </c>
      <c r="C16" s="23" t="str">
        <f>HYPERLINK("#KEYWORDS!A1","KEYWORDS")</f>
        <v>KEYWORDS</v>
      </c>
      <c r="D16" s="24" t="str">
        <f>HYPERLINK("#FINAL_RECOMMENDATION!A1","FINAL_RECOMMENDATION")</f>
        <v>FINAL_RECOMMENDATION</v>
      </c>
    </row>
    <row r="17" spans="1:5" ht="27" customHeight="1" x14ac:dyDescent="0.25">
      <c r="A17" s="2"/>
      <c r="B17" s="25" t="s">
        <v>22</v>
      </c>
      <c r="C17" s="26" t="s">
        <v>23</v>
      </c>
      <c r="D17" s="27" t="s">
        <v>24</v>
      </c>
    </row>
    <row r="18" spans="1:5" ht="6" customHeight="1" x14ac:dyDescent="0.25">
      <c r="A18" s="2"/>
      <c r="B18" s="18"/>
    </row>
    <row r="19" spans="1:5" ht="30" customHeight="1" x14ac:dyDescent="0.25">
      <c r="B19" s="28" t="s">
        <v>25</v>
      </c>
      <c r="C19" s="170" t="s">
        <v>26</v>
      </c>
      <c r="D19" s="165"/>
    </row>
    <row r="20" spans="1:5" ht="18" customHeight="1" x14ac:dyDescent="0.25">
      <c r="A20" s="3"/>
      <c r="B20" s="29" t="str">
        <f>HYPERLINK("#BULLET_GENERATOR!A1","BULLET_GENERATOR")</f>
        <v>BULLET_GENERATOR</v>
      </c>
      <c r="C20" s="171" t="s">
        <v>27</v>
      </c>
      <c r="D20" s="165"/>
    </row>
    <row r="21" spans="1:5" ht="27" customHeight="1" x14ac:dyDescent="0.25">
      <c r="A21" s="30"/>
      <c r="B21" s="31" t="s">
        <v>28</v>
      </c>
      <c r="C21" s="172" t="s">
        <v>29</v>
      </c>
      <c r="D21" s="165"/>
    </row>
    <row r="22" spans="1:5" ht="9" customHeight="1" x14ac:dyDescent="0.25">
      <c r="A22" s="30"/>
      <c r="B22" s="8"/>
    </row>
    <row r="23" spans="1:5" ht="21" customHeight="1" x14ac:dyDescent="0.25">
      <c r="A23" s="30"/>
      <c r="B23" s="173" t="s">
        <v>30</v>
      </c>
      <c r="C23" s="165"/>
      <c r="D23" s="165"/>
    </row>
    <row r="24" spans="1:5" ht="19.5" customHeight="1" x14ac:dyDescent="0.25">
      <c r="B24" s="32" t="s">
        <v>31</v>
      </c>
      <c r="C24" s="33" t="s">
        <v>32</v>
      </c>
      <c r="D24" s="4" t="s">
        <v>33</v>
      </c>
    </row>
    <row r="25" spans="1:5" ht="16.5" customHeight="1" x14ac:dyDescent="0.25">
      <c r="A25" s="34"/>
      <c r="B25" s="35" t="s">
        <v>34</v>
      </c>
      <c r="C25" s="35" t="s">
        <v>35</v>
      </c>
      <c r="D25" s="35" t="s">
        <v>36</v>
      </c>
    </row>
    <row r="26" spans="1:5" ht="24" customHeight="1" x14ac:dyDescent="0.25">
      <c r="A26" s="36"/>
      <c r="B26" s="37" t="s">
        <v>37</v>
      </c>
      <c r="C26" s="37" t="s">
        <v>38</v>
      </c>
      <c r="D26" s="37" t="s">
        <v>39</v>
      </c>
    </row>
    <row r="27" spans="1:5" ht="6" customHeight="1" x14ac:dyDescent="0.25"/>
    <row r="28" spans="1:5" ht="21" customHeight="1" x14ac:dyDescent="0.25">
      <c r="B28" s="174" t="s">
        <v>40</v>
      </c>
      <c r="C28" s="165"/>
      <c r="D28" s="165"/>
    </row>
    <row r="29" spans="1:5" ht="18" customHeight="1" x14ac:dyDescent="0.25">
      <c r="B29" s="38" t="s">
        <v>41</v>
      </c>
      <c r="C29" s="39" t="s">
        <v>42</v>
      </c>
      <c r="D29" s="40" t="s">
        <v>43</v>
      </c>
      <c r="E29" s="41" t="s">
        <v>44</v>
      </c>
    </row>
    <row r="30" spans="1:5" ht="19.5" customHeight="1" x14ac:dyDescent="0.25">
      <c r="B30" s="42" t="str">
        <f>HYPERLINK("https://www.genspark.ai/api/files/s/QUBpsO27r","📄 Download Resume")</f>
        <v>📄 Download Resume</v>
      </c>
      <c r="C30" s="42" t="str">
        <f>HYPERLINK("https://www.genspark.ai/api/files/s/BLpvZjmUt","📄 Download Resume")</f>
        <v>📄 Download Resume</v>
      </c>
      <c r="D30" s="42" t="str">
        <f>HYPERLINK("https://www.genspark.ai/api/files/s/kaZPyfr7","📄 Download Resume")</f>
        <v>📄 Download Resume</v>
      </c>
      <c r="E30" s="43" t="s">
        <v>45</v>
      </c>
    </row>
    <row r="31" spans="1:5" ht="19.5" customHeight="1" x14ac:dyDescent="0.25">
      <c r="B31" s="42" t="str">
        <f>HYPERLINK("https://www.genspark.ai/api/files/s/lkUPzCNe","✉️ Cover Letter")</f>
        <v>✉️ Cover Letter</v>
      </c>
      <c r="C31" s="42" t="str">
        <f>HYPERLINK("https://www.genspark.ai/api/files/s/PxGCoBuk","✉️ Cover Letter")</f>
        <v>✉️ Cover Letter</v>
      </c>
      <c r="D31" s="42" t="str">
        <f>HYPERLINK("https://www.genspark.ai/api/files/s/lPnFfxiB","✉️ Cover Letter")</f>
        <v>✉️ Cover Letter</v>
      </c>
      <c r="E31" s="43" t="s">
        <v>46</v>
      </c>
    </row>
    <row r="32" spans="1:5" ht="7.5" customHeight="1" x14ac:dyDescent="0.25">
      <c r="E32" s="43" t="s">
        <v>47</v>
      </c>
    </row>
    <row r="33" spans="2:4" ht="21" customHeight="1" x14ac:dyDescent="0.25">
      <c r="B33" s="175" t="s">
        <v>48</v>
      </c>
      <c r="C33" s="165"/>
      <c r="D33" s="165"/>
    </row>
    <row r="34" spans="2:4" ht="16.5" customHeight="1" x14ac:dyDescent="0.25">
      <c r="B34" s="176" t="s">
        <v>49</v>
      </c>
      <c r="C34" s="165"/>
      <c r="D34" s="165"/>
    </row>
  </sheetData>
  <mergeCells count="12">
    <mergeCell ref="B33:D33"/>
    <mergeCell ref="B34:D34"/>
    <mergeCell ref="C19:D19"/>
    <mergeCell ref="C20:D20"/>
    <mergeCell ref="C21:D21"/>
    <mergeCell ref="B23:D23"/>
    <mergeCell ref="B28:D28"/>
    <mergeCell ref="B1:D1"/>
    <mergeCell ref="B2:D2"/>
    <mergeCell ref="B3:D3"/>
    <mergeCell ref="B5:D5"/>
    <mergeCell ref="B10:D10"/>
  </mergeCells>
  <hyperlinks>
    <hyperlink ref="B8" location="JD_INPUT!A1" display="→ Open JD_INPUT sheet" xr:uid="{00000000-0004-0000-0000-000000000000}"/>
    <hyperlink ref="B12" location="JD_INPUT!A1" display="JD_INPUT" xr:uid="{00000000-0004-0000-0000-000001000000}"/>
    <hyperlink ref="C12" location="AI_SCORE!A1" display="AI_SCORE" xr:uid="{00000000-0004-0000-0000-000002000000}"/>
    <hyperlink ref="D12" location="TPM_SCORE!A1" display="TPM_SCORE" xr:uid="{00000000-0004-0000-0000-000003000000}"/>
    <hyperlink ref="B13" r:id="rId1" tooltip="https://www.genspark.ai/api/files/s/egkpAmHn" xr:uid="{00000000-0004-0000-0000-000004000000}"/>
    <hyperlink ref="B14" r:id="rId2" tooltip="https://www.genspark.ai/api/files/s/SmDMp5LA" display="https://www.genspark.ai/api/files/s/SmDMp5LA" xr:uid="{00000000-0004-0000-0000-000005000000}"/>
    <hyperlink ref="B15" r:id="rId3" tooltip="https://www.genspark.ai/api/files/s/IZDUqedH" xr:uid="{00000000-0004-0000-0000-000006000000}"/>
    <hyperlink ref="B16" location="ITDM_SCORE!A1" display="ITDM_SCORE" xr:uid="{00000000-0004-0000-0000-000007000000}"/>
    <hyperlink ref="C16" location="KEYWORDS!A1" display="KEYWORDS" xr:uid="{00000000-0004-0000-0000-000008000000}"/>
    <hyperlink ref="D16" location="FINAL_RECOMMENDATION!A1" display="FINAL_RECOMMENDATION" xr:uid="{00000000-0004-0000-0000-000009000000}"/>
    <hyperlink ref="B17" r:id="rId4" tooltip="https://www.genspark.ai/api/files/s/PxGCoBuk" xr:uid="{00000000-0004-0000-0000-00000A000000}"/>
    <hyperlink ref="B18" r:id="rId5" tooltip="https://www.genspark.ai/api/files/s/lPnFfxiB" display="https://www.genspark.ai/api/files/s/lPnFfxiB" xr:uid="{00000000-0004-0000-0000-00000B000000}"/>
    <hyperlink ref="B20" location="BULLET_GENERATOR!A1" display="BULLET_GENERATOR" xr:uid="{00000000-0004-0000-0000-00000C000000}"/>
    <hyperlink ref="B30" r:id="rId6" display="📄 Download Resume" xr:uid="{00000000-0004-0000-0000-00000D000000}"/>
    <hyperlink ref="C30" r:id="rId7" display="📄 Download Resume" xr:uid="{00000000-0004-0000-0000-00000E000000}"/>
    <hyperlink ref="D30" r:id="rId8" display="📄 Download Resume" xr:uid="{00000000-0004-0000-0000-00000F000000}"/>
    <hyperlink ref="B31" r:id="rId9" display="✉️ Cover Letter" xr:uid="{00000000-0004-0000-0000-000010000000}"/>
    <hyperlink ref="C31" r:id="rId10" display="✉️ Cover Letter" xr:uid="{00000000-0004-0000-0000-000011000000}"/>
    <hyperlink ref="D31" r:id="rId11" display="✉️ Cover Letter" xr:uid="{00000000-0004-0000-0000-000012000000}"/>
  </hyperlinks>
  <pageMargins left="0.7" right="0.7" top="0.75" bottom="0.75" header="0.3" footer="0.3"/>
  <pageSetup orientation="portrait"/>
  <headerFooter>
    <oddHeader>&amp;L&amp;C&amp;R</oddHeader>
    <oddFooter>&amp;L&amp;C&amp;R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67208-F9AE-5246-00C8-18B075A20AB3}">
  <dimension ref="A1:B65"/>
  <sheetViews>
    <sheetView tabSelected="1" zoomScale="70" workbookViewId="0">
      <pane ySplit="1" topLeftCell="A38" activePane="bottomLeft" state="frozen"/>
      <selection pane="bottomLeft" activeCell="B22" sqref="B22"/>
    </sheetView>
  </sheetViews>
  <sheetFormatPr defaultColWidth="8.85546875" defaultRowHeight="15" customHeight="1" x14ac:dyDescent="0.25"/>
  <cols>
    <col min="1" max="1" width="42.42578125" customWidth="1"/>
    <col min="2" max="2" width="3372.85546875" customWidth="1"/>
  </cols>
  <sheetData>
    <row r="1" spans="1:2" ht="22.5" customHeight="1" x14ac:dyDescent="0.25">
      <c r="A1" s="177" t="s">
        <v>50</v>
      </c>
      <c r="B1" s="165"/>
    </row>
    <row r="3" spans="1:2" ht="15" hidden="1" customHeight="1" x14ac:dyDescent="0.25">
      <c r="A3" s="2"/>
      <c r="B3" s="44"/>
    </row>
    <row r="4" spans="1:2" ht="15" hidden="1" customHeight="1" x14ac:dyDescent="0.25">
      <c r="A4" s="2"/>
      <c r="B4" s="44"/>
    </row>
    <row r="5" spans="1:2" ht="15" hidden="1" customHeight="1" x14ac:dyDescent="0.25">
      <c r="A5" s="2"/>
      <c r="B5" s="44"/>
    </row>
    <row r="6" spans="1:2" ht="15" hidden="1" customHeight="1" x14ac:dyDescent="0.25">
      <c r="A6" s="2"/>
      <c r="B6" s="44"/>
    </row>
    <row r="7" spans="1:2" ht="15" hidden="1" customHeight="1" x14ac:dyDescent="0.25">
      <c r="A7" s="2"/>
      <c r="B7" s="44"/>
    </row>
    <row r="8" spans="1:2" ht="4.5" customHeight="1" x14ac:dyDescent="0.25">
      <c r="A8" s="185"/>
      <c r="B8" s="185"/>
    </row>
    <row r="9" spans="1:2" ht="21" customHeight="1" x14ac:dyDescent="0.25">
      <c r="A9" s="178" t="s">
        <v>51</v>
      </c>
      <c r="B9" s="165"/>
    </row>
    <row r="10" spans="1:2" ht="210" customHeight="1" x14ac:dyDescent="0.25">
      <c r="A10" s="45" t="s">
        <v>52</v>
      </c>
      <c r="B10" s="225" t="s">
        <v>402</v>
      </c>
    </row>
    <row r="11" spans="1:2" ht="4.5" customHeight="1" x14ac:dyDescent="0.25">
      <c r="A11" s="186"/>
      <c r="B11" s="186"/>
    </row>
    <row r="12" spans="1:2" ht="15" hidden="1" customHeight="1" x14ac:dyDescent="0.25">
      <c r="A12" s="46"/>
      <c r="B12" s="47" t="str">
        <f>LOWER(B10)</f>
        <v>about the job
the field platforms operations lead role is a part of the go-to-market capabilities (gtmc), customer facing capabilities (cfc), crm &amp; enablers team. the gtmc organization drives best-in-class capabilities and brings value and excellence in commercial operations. the gtmc organization is a key part of the modernization of sanofi and allows all business operations efforts to be focused on sanofi "take the lead" priorities across products, markets, and pipelines. it accomplishes these goals through realizing the efficiencies of removing silos that exist between our business units, avoiding the duplication and overlapping of resources, standardizing our processes and tools, operating with a one sanofi approach to accelerate our key capabilities development, and fostering the entrepreneurial spirit by speeding up the decision making process.
this role serves as the technical authority for onecrm us field platform operations, leading the strategic vision for crm operations, data governance, and platform evolution. this leader designs and implements scalable operational solutions that support multi-brand, multi-market launch requirements, ensuring enterprise-wide crm performance, data integrity, and continuous platform transformation.
this position will work closely with crm &amp; enablers team members in the us, us-based stakeholders, hyderabad hub resources, contracted system enhancement resources, sr. field management, the workday team, select vendors (i.e. hibbert), other gtmc pillars, veeva, and sanofi digital to lead the end-to-end design, governance, and evolution of onecrm us field platform operations. this leader serves as a strategic partner across the onecrm us ecosystem, influencing platform direction, data governance standards, and operational frameworks that underpin enterprise-wide crm performance.
main responsibilities
lead the strategic vision and operational roadmap for onecrm us field platform operations, ensuring alignment with enterprise crm standards and business priorities
influence platform strategy and technical architecture decisions across onecrm us, shaping long-term crm evolution and downstream system integration
serve as the technical authority for crm data governance, establishing standards, policies, and frameworks that ensure data integrity across the onecrm us ecosystem
drive enterprise-wide data governance initiatives, influencing data quality standards across multiple business units and downstream systems
design and implement scalable crm operational solutions that support multi-brand, multi-market launch requirements across the onecrm us ecosystem
architect end-to-end operational frameworks and processes that scale with organizational growth and platform evolution
lead and mentor the field platforms operations team, providing technical guidance, knowledge transfer, and career development support
drive capability building across the broader crm operations community through structured knowledge sharing and best practice development
partner with platform, digital, and business teams to influence technical decisions on incoming platform requests and crm enhancements
influence senior stakeholder priorities and resource strategies across multiple concurrent launch projects and business units
lead transformation of crm operational processes, driving adoption of modern approaches and establishing performance measurement frameworks
investigate and remediate escalated inquiries, applying technical expertise to resolve complex issues and prevent recurrence through systemic process improvements
drive cross-functional collaboration across partner gtmc us teams, ensuring operational strategies are integrated with platform and business initiatives
about our team
the crm &amp; enablers team is a part of the gtmc organization in the us. the crm &amp; enablers team strives to support our business customer facing teams by delivering innovative crm capabilities that are timely, reliable, accurate, and constantly improving. we focus on our customers — both brand teams and customer facing teams — to adapt our crm platform and operational systems to meet their needs. our efforts to streamline and maintain onecrm us bring value and impact to the organization by reducing the manual workload on our customer facing teams, by providing accurate activity data back to reporting systems, and acting as the nexus of data flow to and from sanofi data systems. this team operates as a strategic partner to the business, driving platform excellence and enabling field force effectiveness at enterprise scale
about the candidate
this candidate has a demonstrated track record of leading technical teams, influencing enterprise platform strategy, and designing scalable operational solutions across multiple business units and product launches. they bring deep expertise in crm operations, data governance, and field platform management, combined with the ability to translate complex technical requirements into enterprise-wide operational frameworks. this leader has experience architecting crm solutions, driving process transformation, and building organizational capability at scale. they are skilled at influencing senior stakeholders, navigating complex matrix environments, and shaping platform strategy across concurrent launch programs. strong english communication skills and availability to engage with us stakeholders with significant operational hour overlap are essential.
ideal experience
bachelor's degree from an accredited four-year college or university (project management masters or mba preferred)
7+ years of progressive crm operations and field platform experience with demonstrated leadership
7+ years of experience in biotechnology or pharmaceuticals
proven track record of leading technical teams and driving strategic operational initiatives across enterprise-scale programs
experience in solution architecture for crm platforms and operational frameworks
advanced expertise in data governance, data quality standards, and enterprise data management
advanced skills in managing senior stakeholder relationships across business units and multiple launch projects
experience influencing enterprise-wide platform strategy and operational approaches
strong knowledge and experience with veeva crm, agile processes, and field force management systems
a keen eye for improvement opportunities and the demonstrated ability to deliver on these opportunities
clear communication skills with the ability to explain not only the requirements and the "ask", but also the "why" with credibility
motivated, energetic, and a respected contributor who engages and elevates others
ability to change behaviors to evolve to the company's strategies and initiatives
experience working and thriving in a matrix environment
strong english communication skills with the ability to engage and align diverse stakeholders across geographies and functions</v>
      </c>
    </row>
    <row r="13" spans="1:2" ht="4.5" customHeight="1" x14ac:dyDescent="0.25">
      <c r="A13" s="187"/>
      <c r="B13" s="187"/>
    </row>
    <row r="14" spans="1:2" ht="27" customHeight="1" x14ac:dyDescent="0.25">
      <c r="A14" s="179" t="s">
        <v>53</v>
      </c>
      <c r="B14" s="165"/>
    </row>
    <row r="15" spans="1:2" ht="24" customHeight="1" x14ac:dyDescent="0.25">
      <c r="A15" s="180" t="str">
        <f>IF(LEN(B10)&lt;50,"⚠️  Paste a Job Description into cell B10 above (minimum 50 characters). Auto-processing will start immediately.","✅  JD PROCESSED — "&amp;LEN(B10)&amp;" characters analyzed. See Final Recommendation below ↓")</f>
        <v>✅  JD PROCESSED — 6943 characters analyzed. See Final Recommendation below ↓</v>
      </c>
      <c r="B15" s="165"/>
    </row>
    <row r="16" spans="1:2" ht="4.5" customHeight="1" x14ac:dyDescent="0.25">
      <c r="A16" s="185"/>
      <c r="B16" s="185"/>
    </row>
    <row r="17" spans="1:2" ht="21" customHeight="1" x14ac:dyDescent="0.25">
      <c r="A17" s="181" t="s">
        <v>54</v>
      </c>
      <c r="B17" s="165"/>
    </row>
    <row r="18" spans="1:2" ht="19.5" customHeight="1" x14ac:dyDescent="0.25">
      <c r="A18" s="48" t="s">
        <v>55</v>
      </c>
      <c r="B18" s="49" t="str">
        <f>IF(LEN(B10)&lt;50,"—",IF(OR(ISNUMBER(SEARCH("chief",B12)),ISNUMBER(SEARCH("cto",B12)),ISNUMBER(SEARCH("cio",B12)),ISNUMBER(SEARCH("cdo",B12))),"C-Suite / Chief",IF(OR(ISNUMBER(SEARCH("svp",B12)),ISNUMBER(SEARCH("evp",B12)),ISNUMBER(SEARCH("senior vice president",B12)),ISNUMBER(SEARCH("executive vice president",B12))),"SVP / EVP",IF(OR(ISNUMBER(SEARCH("vice president",B12)),ISNUMBER(SEARCH(" vp ",B12)),ISNUMBER(SEARCH("vp of",B12))),"VP",IF(OR(ISNUMBER(SEARCH("senior director",B12)),ISNUMBER(SEARCH("sr. director",B12)),ISNUMBER(SEARCH("sr director",B12))),"Senior Director",IF(OR(ISNUMBER(SEARCH("head of",B12)),ISNUMBER(SEARCH("director",B12))),"Director / Head",IF(OR(ISNUMBER(SEARCH("principal",B12)),ISNUMBER(SEARCH("staff ",B12)),ISNUMBER(SEARCH("distinguished",B12))),"Principal / Staff",IF(OR(ISNUMBER(SEARCH("senior manager",B12)),ISNUMBER(SEARCH("sr manager",B12)),ISNUMBER(SEARCH("sr. manager",B12))),"Senior Manager",IF(OR(ISNUMBER(SEARCH("manager",B12)),ISNUMBER(SEARCH("lead ",B12))),"Manager / Lead","Individual Contributor / Not detected")))))))))</f>
        <v>Manager / Lead</v>
      </c>
    </row>
    <row r="19" spans="1:2" ht="19.5" customHeight="1" x14ac:dyDescent="0.25">
      <c r="A19" s="48" t="s">
        <v>56</v>
      </c>
      <c r="B19" s="49" t="str">
        <f>IF(LEN(B10)&lt;50,"—",IF(ISNUMBER(SEARCH("$",B10)),"Salary mentioned in JD — scan for $ figures",IF(OR(ISNUMBER(SEARCH("compensation",B12)),ISNUMBER(SEARCH("salary",B12)),ISNUMBER(SEARCH("pay range",B12)),ISNUMBER(SEARCH("base pay",B12))),"Compensation referenced (no explicit $ figure)","Not specified in JD")))</f>
        <v>Not specified in JD</v>
      </c>
    </row>
    <row r="20" spans="1:2" ht="19.5" customHeight="1" x14ac:dyDescent="0.25">
      <c r="A20" s="48" t="s">
        <v>57</v>
      </c>
      <c r="B20" s="49" t="str">
        <f>IF(LEN(B10)&lt;50,"—",IF(ISNUMBER(SEARCH("remote",B12)),IF(ISNUMBER(SEARCH("hybrid",B12)),"Hybrid (Remote + Onsite)",IF(ISNUMBER(SEARCH("fully remote",B12)),"Fully Remote","Remote friendly")),IF(ISNUMBER(SEARCH("hybrid",B12)),"Hybrid",IF(OR(ISNUMBER(SEARCH("onsite",B12)),ISNUMBER(SEARCH("on-site",B12)),ISNUMBER(SEARCH("in-office",B12)),ISNUMBER(SEARCH("in office",B12))),"Onsite / In-office",IF(B5&lt;&gt;"",B5,"Not specified")))))</f>
        <v>Not specified</v>
      </c>
    </row>
    <row r="21" spans="1:2" ht="19.5" customHeight="1" x14ac:dyDescent="0.25">
      <c r="A21" s="48" t="s">
        <v>58</v>
      </c>
      <c r="B21" s="49" t="str">
        <f>IF(LEN(B10)&lt;50,"—",IF(OR(ISNUMBER(SEARCH("contract",B12)),ISNUMBER(SEARCH("contractor",B12)),ISNUMBER(SEARCH("c2c",B12)),ISNUMBER(SEARCH("w2 contract",B12))),"Contract / C2C",IF(OR(ISNUMBER(SEARCH("part-time",B12)),ISNUMBER(SEARCH("part time",B12))),"Part-Time",IF(OR(ISNUMBER(SEARCH("intern",B12)),ISNUMBER(SEARCH("internship",B12))),"Internship",IF(OR(ISNUMBER(SEARCH("full-time",B12)),ISNUMBER(SEARCH("full time",B12)),ISNUMBER(SEARCH("permanent",B12))),"Full-Time / Permanent","Full-Time (assumed)")))))</f>
        <v>Contract / C2C</v>
      </c>
    </row>
    <row r="22" spans="1:2" ht="19.5" customHeight="1" x14ac:dyDescent="0.25">
      <c r="A22" s="48" t="s">
        <v>59</v>
      </c>
      <c r="B22" s="49" t="str">
        <f>IF(LEN(B10)&lt;50,"—",TRIM(IF(OR(ISNUMBER(SEARCH("banking",B12)),ISNUMBER(SEARCH("financial services",B12)),ISNUMBER(SEARCH("fintech",B12)),ISNUMBER(SEARCH("insurance",B12))),"Financial Services  ","")&amp;IF(OR(ISNUMBER(SEARCH("healthcare",B12)),ISNUMBER(SEARCH("pharma",B12)),ISNUMBER(SEARCH("life sciences",B12))),"Healthcare/Pharma  ","")&amp;IF(OR(ISNUMBER(SEARCH("retail",B12)),ISNUMBER(SEARCH("e-commerce",B12)),ISNUMBER(SEARCH("ecommerce",B12))),"Retail/E-commerce  ","")&amp;IF(OR(ISNUMBER(SEARCH("manufacturing",B12)),ISNUMBER(SEARCH("industrial",B12))),"Manufacturing  ","")&amp;IF(OR(ISNUMBER(SEARCH("consulting",B12)),ISNUMBER(SEARCH("advisory",B12))),"Consulting  ","")&amp;IF(OR(ISNUMBER(SEARCH("technology",B12)),ISNUMBER(SEARCH("saas",B12)),ISNUMBER(SEARCH("software",B12))),"Technology/SaaS  ","")))</f>
        <v>Healthcare/Pharma Technology/SaaS</v>
      </c>
    </row>
    <row r="23" spans="1:2" ht="4.5" customHeight="1" x14ac:dyDescent="0.25">
      <c r="A23" s="186"/>
      <c r="B23" s="186"/>
    </row>
    <row r="24" spans="1:2" ht="22.5" customHeight="1" x14ac:dyDescent="0.25">
      <c r="A24" s="182" t="s">
        <v>60</v>
      </c>
      <c r="B24" s="165"/>
    </row>
    <row r="25" spans="1:2" ht="25.5" customHeight="1" x14ac:dyDescent="0.25">
      <c r="A25" s="50" t="s">
        <v>61</v>
      </c>
      <c r="B25" s="51" t="str">
        <f ca="1">IF(LEN(B10)&lt;50,"⏳ Waiting for JD input...",INDEX({"AI Transformation Manager","Technical Program Manager","IT Delivery Manager","Product Manager"},MATCH(MAX(AI_SCORE!D26,TPM_SCORE!D26,ITDM_SCORE!D26,PM_SCORE!D26),CHOOSE({1;2;3;4},AI_SCORE!D26,TPM_SCORE!D26,ITDM_SCORE!D26,PM_SCORE!D26),0)))</f>
        <v>Technical Program Manager</v>
      </c>
    </row>
    <row r="26" spans="1:2" ht="22.5" customHeight="1" x14ac:dyDescent="0.25">
      <c r="A26" s="52" t="s">
        <v>63</v>
      </c>
      <c r="B26" s="53" t="str">
        <f ca="1">IF(LEN(B10)&lt;50,"—",MAX(AI_SCORE!D26,TPM_SCORE!D26,ITDM_SCORE!D26,PM_SCORE!D26)&amp;" points → "&amp;IF(MAX(AI_SCORE!D26,TPM_SCORE!D26,ITDM_SCORE!D26,PM_SCORE!D26)&gt;=32,"🟢 STRONG MATCH — Apply with confidence",IF(MAX(AI_SCORE!D26,TPM_SCORE!D26,ITDM_SCORE!D26,PM_SCORE!D26)&gt;=25,"🔵 GOOD MATCH — Tailor a few bullets",IF(MAX(AI_SCORE!D26,TPM_SCORE!D26,ITDM_SCORE!D26,PM_SCORE!D26)&gt;=18,"🟡 MODERATE MATCH — Significant tailoring needed","🔴 WEAK MATCH — Reposition heavily or skip"))))</f>
        <v>22 points → 🟡 MODERATE MATCH — Significant tailoring needed</v>
      </c>
    </row>
    <row r="27" spans="1:2" ht="22.5" customHeight="1" x14ac:dyDescent="0.25">
      <c r="A27" s="54" t="s">
        <v>64</v>
      </c>
      <c r="B27" s="55" t="str">
        <f ca="1">IF(LEN(B10)&lt;50,"—",IF(B25="AI Transformation Manager","Use AI Transformation Manager Cover Letter → https://www.genspark.ai/api/files/s/lkUPzCNe",IF(B25="Technical Program Manager","Use Technical Program Manager Cover Letter → https://www.genspark.ai/api/files/s/PxGCoBuk",IF(B25="IT Delivery Manager","Use IT Delivery Manager Cover Letter → https://www.genspark.ai/api/files/s/lPnFfxiB","Use Product Manager Cover Letter → (Template TBD)"))))</f>
        <v>Use Technical Program Manager Cover Letter → https://www.genspark.ai/api/files/s/PxGCoBuk</v>
      </c>
    </row>
    <row r="28" spans="1:2" ht="36" customHeight="1" x14ac:dyDescent="0.25">
      <c r="A28" s="54" t="s">
        <v>65</v>
      </c>
      <c r="B28" s="55" t="str">
        <f ca="1">IF(LEN(B10)&lt;50,"—","1) Mirror top JD keywords in Professional Summary   2) Move "&amp;B25&amp;" experience to top   3) Add 1 quantified bullet per top-scoring keyword   4) Re-title header to match JD role   5) Reference JD industry in summary")</f>
        <v>1) Mirror top JD keywords in Professional Summary   2) Move Technical Program Manager experience to top   3) Add 1 quantified bullet per top-scoring keyword   4) Re-title header to match JD role   5) Reference JD industry in summary</v>
      </c>
    </row>
    <row r="29" spans="1:2" ht="4.5" customHeight="1" x14ac:dyDescent="0.25">
      <c r="A29" s="185"/>
      <c r="B29" s="185"/>
    </row>
    <row r="30" spans="1:2" ht="19.5" customHeight="1" x14ac:dyDescent="0.25">
      <c r="A30" s="183" t="s">
        <v>66</v>
      </c>
      <c r="B30" s="165"/>
    </row>
    <row r="31" spans="1:2" ht="16.5" customHeight="1" x14ac:dyDescent="0.25">
      <c r="A31" s="56" t="s">
        <v>67</v>
      </c>
      <c r="B31" s="56" t="s">
        <v>68</v>
      </c>
    </row>
    <row r="32" spans="1:2" ht="19.5" customHeight="1" x14ac:dyDescent="0.25">
      <c r="A32" s="57" t="s">
        <v>69</v>
      </c>
      <c r="B32" s="58" t="str">
        <f ca="1">IF(LEN(B10)&lt;50,"—",AI_SCORE!D26&amp;" pts  |  "&amp;IF(AI_SCORE!D26&gt;=32,"🟢 STRONG",IF(AI_SCORE!D26&gt;=25,"🔵 GOOD",IF(AI_SCORE!D26&gt;=18,"🟡 MODERATE","🔴 WEAK")))&amp;"  |  "&amp;REPT("█",MIN(20,AI_SCORE!D26/2))&amp;REPT("░",MAX(0,20-MIN(20,AI_SCORE!D26/2))))</f>
        <v>17 pts  |  🔴 WEAK  |  ████████░░░░░░░░░░░</v>
      </c>
    </row>
    <row r="33" spans="1:2" ht="19.5" customHeight="1" x14ac:dyDescent="0.25">
      <c r="A33" s="59" t="s">
        <v>70</v>
      </c>
      <c r="B33" s="60" t="str">
        <f ca="1">IF(LEN(B10)&lt;50,"—",TPM_SCORE!D26&amp;" pts  |  "&amp;IF(TPM_SCORE!D26&gt;=32,"🟢 STRONG",IF(TPM_SCORE!D26&gt;=25,"🔵 GOOD",IF(TPM_SCORE!D26&gt;=18,"🟡 MODERATE","🔴 WEAK")))&amp;"  |  "&amp;REPT("█",MIN(20,TPM_SCORE!D26/2))&amp;REPT("░",MAX(0,20-MIN(20,TPM_SCORE!D26/2))))</f>
        <v>22 pts  |  🟡 MODERATE  |  ███████████░░░░░░░░░</v>
      </c>
    </row>
    <row r="34" spans="1:2" ht="19.5" customHeight="1" x14ac:dyDescent="0.25">
      <c r="A34" s="61" t="s">
        <v>71</v>
      </c>
      <c r="B34" s="60" t="str">
        <f ca="1">IF(LEN(B10)&lt;50,"—",ITDM_SCORE!D26&amp;" pts  |  "&amp;IF(ITDM_SCORE!D26&gt;=32,"🟢 STRONG",IF(ITDM_SCORE!D26&gt;=25,"🔵 GOOD",IF(ITDM_SCORE!D26&gt;=18,"🟡 MODERATE","🔴 WEAK")))&amp;"  |  "&amp;REPT("█",MIN(20,ITDM_SCORE!D26/2))&amp;REPT("░",MAX(0,20-MIN(20,ITDM_SCORE!D26/2))))</f>
        <v>9 pts  |  🔴 WEAK  |  ████░░░░░░░░░░░░░░░</v>
      </c>
    </row>
    <row r="35" spans="1:2" ht="19.5" customHeight="1" x14ac:dyDescent="0.25">
      <c r="A35" s="188" t="s">
        <v>72</v>
      </c>
      <c r="B35" s="189" t="str">
        <f ca="1">IF(LEN(B10)&lt;50,"—",PM_SCORE!D26&amp;" pts  |  "&amp;IF(PM_SCORE!D26&gt;=32,"🟢 STRONG",IF(PM_SCORE!D26&gt;=25,"🔵 GOOD",IF(PM_SCORE!D26&gt;=18,"🟡 MODERATE","🔴 WEAK")))&amp;"  |  "&amp;REPT("█",MIN(20,PM_SCORE!D26/2))&amp;REPT("░",MAX(0,20-MIN(20,PM_SCORE!D26/2))))</f>
        <v>16 pts  |  🔴 WEAK  |  ████████░░░░░░░░░░░░</v>
      </c>
    </row>
    <row r="36" spans="1:2" ht="18" customHeight="1" x14ac:dyDescent="0.25">
      <c r="A36" s="184" t="s">
        <v>73</v>
      </c>
      <c r="B36" s="165"/>
    </row>
    <row r="37" spans="1:2" ht="18" customHeight="1" x14ac:dyDescent="0.25">
      <c r="A37" s="62" t="s">
        <v>74</v>
      </c>
      <c r="B37" s="63" t="str">
        <f ca="1">IF(LEN(B10)&lt;50,"—",(AI_SCORE!D26-MAX(AI_SCORE!D26,TPM_SCORE!D26,ITDM_SCORE!D26))&amp;" pts  ("&amp;IF(AI_SCORE!D26=MAX(AI_SCORE!D26,TPM_SCORE!D26,ITDM_SCORE!D26),"🏆 BEST FIT","behind best fit")&amp;")")</f>
        <v>-5 pts  (behind best fit)</v>
      </c>
    </row>
    <row r="38" spans="1:2" ht="18" customHeight="1" x14ac:dyDescent="0.25">
      <c r="A38" s="62" t="s">
        <v>75</v>
      </c>
      <c r="B38" s="63" t="str">
        <f ca="1">IF(LEN(B10)&lt;50,"—",(TPM_SCORE!D26-MAX(AI_SCORE!D26,TPM_SCORE!D26,ITDM_SCORE!D26))&amp;" pts  ("&amp;IF(TPM_SCORE!D26=MAX(AI_SCORE!D26,TPM_SCORE!D26,ITDM_SCORE!D26),"🏆 BEST FIT","behind best fit")&amp;")")</f>
        <v>0 pts  (🏆 BEST FIT)</v>
      </c>
    </row>
    <row r="39" spans="1:2" ht="18" customHeight="1" x14ac:dyDescent="0.25">
      <c r="A39" s="62" t="s">
        <v>76</v>
      </c>
      <c r="B39" s="63" t="str">
        <f ca="1">IF(LEN(B10)&lt;50,"—",(ITDM_SCORE!D26-MAX(AI_SCORE!D26,TPM_SCORE!D26,ITDM_SCORE!D26))&amp;" pts  ("&amp;IF(ITDM_SCORE!D26=MAX(AI_SCORE!D26,TPM_SCORE!D26,ITDM_SCORE!D26),"🏆 BEST FIT","behind best fit")&amp;")")</f>
        <v>-13 pts  (behind best fit)</v>
      </c>
    </row>
    <row r="40" spans="1:2" ht="18" customHeight="1" x14ac:dyDescent="0.25">
      <c r="A40" s="190" t="s">
        <v>77</v>
      </c>
      <c r="B40" s="191" t="str">
        <f ca="1">IF(LEN(B10)&lt;50,"—",(PM_SCORE!D26-MAX(AI_SCORE!D26,TPM_SCORE!D26,ITDM_SCORE!D26,PM_SCORE!D26))&amp;" pts  ("&amp;IF(PM_SCORE!D26=MAX(AI_SCORE!D26,TPM_SCORE!D26,ITDM_SCORE!D26,PM_SCORE!D26),"🏆 BEST FIT","behind best fit")&amp;")")</f>
        <v>-6 pts  (behind best fit)</v>
      </c>
    </row>
    <row r="41" spans="1:2" ht="27" customHeight="1" x14ac:dyDescent="0.25">
      <c r="A41" s="64" t="s">
        <v>78</v>
      </c>
      <c r="B41" s="65" t="s">
        <v>79</v>
      </c>
    </row>
    <row r="42" spans="1:2" ht="4.5" customHeight="1" x14ac:dyDescent="0.25">
      <c r="A42" s="186"/>
      <c r="B42" s="186"/>
    </row>
    <row r="43" spans="1:2" ht="21" customHeight="1" x14ac:dyDescent="0.25">
      <c r="A43" s="66" t="s">
        <v>80</v>
      </c>
    </row>
    <row r="44" spans="1:2" ht="19.5" customHeight="1" x14ac:dyDescent="0.25">
      <c r="A44" s="67" t="s">
        <v>81</v>
      </c>
      <c r="B44" s="68" t="str">
        <f ca="1">IF(LEN(B10)&lt;50,"Paste JD first","Top 5 for: "&amp;B25)</f>
        <v>Top 5 for: Technical Program Manager</v>
      </c>
    </row>
    <row r="45" spans="1:2" ht="18" customHeight="1" x14ac:dyDescent="0.25">
      <c r="A45" s="69" t="s">
        <v>82</v>
      </c>
      <c r="B45" s="70" t="str">
        <f ca="1">IF(LEN(B10)&lt;50,"—",IF(B25="AI Transformation Manager",AI_SCORE!B32,IF(B25="Technical Program Manager",TPM_SCORE!B32,IF(B25="IT Delivery Manager",ITDM_SCORE!B32,PM_SCORE!B32))))</f>
        <v>Technical program management</v>
      </c>
    </row>
    <row r="46" spans="1:2" ht="18" customHeight="1" x14ac:dyDescent="0.25">
      <c r="A46" s="69" t="s">
        <v>84</v>
      </c>
      <c r="B46" s="70" t="str">
        <f ca="1">IF(LEN(B10)&lt;50,"—",IF(B25="AI Transformation Manager",AI_SCORE!B33,IF(B25="Technical Program Manager",TPM_SCORE!B33,IF(B25="IT Delivery Manager",ITDM_SCORE!B33,PM_SCORE!B33))))</f>
        <v>Program delivery</v>
      </c>
    </row>
    <row r="47" spans="1:2" ht="18" customHeight="1" x14ac:dyDescent="0.25">
      <c r="A47" s="69" t="s">
        <v>86</v>
      </c>
      <c r="B47" s="70" t="str">
        <f ca="1">IF(LEN(B10)&lt;50,"—",IF(B25="AI Transformation Manager",AI_SCORE!B34,IF(B25="Technical Program Manager",TPM_SCORE!B34,IF(B25="IT Delivery Manager",ITDM_SCORE!B34,PM_SCORE!B34))))</f>
        <v>Risk management</v>
      </c>
    </row>
    <row r="48" spans="1:2" ht="18" customHeight="1" x14ac:dyDescent="0.25">
      <c r="A48" s="69" t="s">
        <v>88</v>
      </c>
      <c r="B48" s="70" t="str">
        <f ca="1">IF(LEN(B10)&lt;50,"—",IF(B25="AI Transformation Manager",AI_SCORE!B35,IF(B25="Technical Program Manager",TPM_SCORE!B35,IF(B25="IT Delivery Manager",ITDM_SCORE!B35,PM_SCORE!B35))))</f>
        <v>Change management</v>
      </c>
    </row>
    <row r="49" spans="1:2" ht="18" customHeight="1" x14ac:dyDescent="0.25">
      <c r="A49" s="69" t="s">
        <v>90</v>
      </c>
      <c r="B49" s="70" t="str">
        <f ca="1">IF(LEN(B10)&lt;50,"—",IF(B25="AI Transformation Manager",AI_SCORE!B36,IF(B25="Technical Program Manager",TPM_SCORE!B36,IF(B25="IT Delivery Manager",ITDM_SCORE!B36,PM_SCORE!B36))))</f>
        <v>Release management</v>
      </c>
    </row>
    <row r="50" spans="1:2" ht="21" customHeight="1" x14ac:dyDescent="0.25">
      <c r="A50" s="71" t="s">
        <v>92</v>
      </c>
      <c r="B50" s="72" t="str">
        <f ca="1">IF(LEN(B10)&lt;50,"—","+20 pts potential (boosts "&amp;B25&amp;" to "&amp;(MAX(AI_SCORE!D26,TPM_SCORE!D26,ITDM_SCORE!D26,PM_SCORE!D26)+20)&amp;" pts)")</f>
        <v>+20 pts potential (boosts Technical Program Manager to 42 pts)</v>
      </c>
    </row>
    <row r="51" spans="1:2" ht="4.5" customHeight="1" x14ac:dyDescent="0.25">
      <c r="A51" s="192"/>
      <c r="B51" s="192"/>
    </row>
    <row r="52" spans="1:2" ht="19.5" customHeight="1" x14ac:dyDescent="0.25">
      <c r="A52" s="73" t="s">
        <v>93</v>
      </c>
      <c r="B52" s="74" t="str">
        <f ca="1">IF(LEN(B10)&lt;50,"⏳ Paste JD to see bullet suggestions","See BULLET_GENERATOR sheet → "&amp;COUNTIF(BULLET_GENERATOR!E4:E63,"🟢 USE THIS")&amp;" bullets recommended for your JD")</f>
        <v>See BULLET_GENERATOR sheet → 20 bullets recommended for your JD</v>
      </c>
    </row>
    <row r="53" spans="1:2" ht="4.5" customHeight="1" x14ac:dyDescent="0.25">
      <c r="A53" s="186"/>
      <c r="B53" s="186"/>
    </row>
    <row r="54" spans="1:2" ht="22.5" customHeight="1" x14ac:dyDescent="0.25">
      <c r="A54" s="182" t="s">
        <v>94</v>
      </c>
      <c r="B54" s="165"/>
    </row>
    <row r="55" spans="1:2" ht="19.5" customHeight="1" x14ac:dyDescent="0.25">
      <c r="A55" s="75" t="s">
        <v>95</v>
      </c>
      <c r="B55" s="76" t="str">
        <f>IF(LEN(B10)&lt;50,"⏳ Waiting for JD input",IF(LEN(B10)-LEN(SUBSTITUTE(B10," ",""))+1&lt;150,"🔴 TOO SHORT ("&amp;(LEN(B10)-LEN(SUBSTITUTE(B10," ",""))+1)&amp;" words) — Score may be unreliable. Add more JD content.",IF(LEN(B10)-LEN(SUBSTITUTE(B10," ",""))+1&lt;300,"🟡 SHORT ("&amp;(LEN(B10)-LEN(SUBSTITUTE(B10," ",""))+1)&amp;" words) — Adequate but keyword coverage may be limited",IF(LEN(B10)-LEN(SUBSTITUTE(B10," ",""))+1&lt;800,"🟢 GOOD ("&amp;(LEN(B10)-LEN(SUBSTITUTE(B10," ",""))+1)&amp;" words) — Ideal length for reliable scoring","🔵 LONG ("&amp;(LEN(B10)-LEN(SUBSTITUTE(B10," ",""))+1)&amp;" words) — Comprehensive JD, scores are highly reliable"))))</f>
        <v>🔵 LONG (892 words) — Comprehensive JD, scores are highly reliable</v>
      </c>
    </row>
    <row r="56" spans="1:2" ht="19.5" customHeight="1" x14ac:dyDescent="0.25">
      <c r="A56" s="75" t="s">
        <v>96</v>
      </c>
      <c r="B56" s="76" t="str">
        <f>IF(LEN(B10)&lt;50,"⏳ Waiting",LEN(B10)&amp;" characters ("&amp;IF(LEN(B10)&lt;500,"🔴 too brief",IF(LEN(B10)&lt;1500,"🟡 acceptable",IF(LEN(B10)&lt;5000,"🟢 comprehensive","🔵 very detailed")))&amp;")")</f>
        <v>6943 characters (🔵 very detailed)</v>
      </c>
    </row>
    <row r="57" spans="1:2" ht="19.5" customHeight="1" x14ac:dyDescent="0.25">
      <c r="A57" s="75" t="s">
        <v>97</v>
      </c>
      <c r="B57" s="76" t="str">
        <f>IF(LEN(B10)&lt;50,"⏳ Waiting",IF((IF(ISNUMBER(SEARCH("python",B12)),1,0)+IF(ISNUMBER(SEARCH("tensorflow",B12)),1,0)+IF(ISNUMBER(SEARCH("pytorch",B12)),1,0)+IF(ISNUMBER(SEARCH("data scientist",B12)),1,0)+IF(ISNUMBER(SEARCH("ml engineer",B12)),1,0)+IF(ISNUMBER(SEARCH("hands-on coding",B12)),1,0)+IF(ISNUMBER(SEARCH("software engineer",B12)),1,0)+IF(ISNUMBER(SEARCH("java developer",B12)),1,0))&gt;=3,"🔴 HIGH ("&amp;(IF(ISNUMBER(SEARCH("python",B12)),1,0)+IF(ISNUMBER(SEARCH("tensorflow",B12)),1,0)+IF(ISNUMBER(SEARCH("pytorch",B12)),1,0)+IF(ISNUMBER(SEARCH("data scientist",B12)),1,0)+IF(ISNUMBER(SEARCH("ml engineer",B12)),1,0)+IF(ISNUMBER(SEARCH("hands-on coding",B12)),1,0)+IF(ISNUMBER(SEARCH("software engineer",B12)),1,0)+IF(ISNUMBER(SEARCH("java developer",B12)),1,0))&amp;" flags) — JD may require hands-on technical work. Management resume may not fit.",IF((IF(ISNUMBER(SEARCH("python",B12)),1,0)+IF(ISNUMBER(SEARCH("tensorflow",B12)),1,0)+IF(ISNUMBER(SEARCH("pytorch",B12)),1,0)+IF(ISNUMBER(SEARCH("data scientist",B12)),1,0)+IF(ISNUMBER(SEARCH("ml engineer",B12)),1,0)+IF(ISNUMBER(SEARCH("hands-on coding",B12)),1,0)+IF(ISNUMBER(SEARCH("software engineer",B12)),1,0)+IF(ISNUMBER(SEARCH("java developer",B12)),1,0))&gt;=1,"🟡 SOME ("&amp;(IF(ISNUMBER(SEARCH("python",B12)),1,0)+IF(ISNUMBER(SEARCH("tensorflow",B12)),1,0)+IF(ISNUMBER(SEARCH("pytorch",B12)),1,0)+IF(ISNUMBER(SEARCH("data scientist",B12)),1,0)+IF(ISNUMBER(SEARCH("ml engineer",B12)),1,0)+IF(ISNUMBER(SEARCH("hands-on coding",B12)),1,0)+IF(ISNUMBER(SEARCH("software engineer",B12)),1,0)+IF(ISNUMBER(SEARCH("java developer",B12)),1,0))&amp;" flags) — Minor hands-on aspects, but management framing likely still works","🟢 CLEAN — No hands-on technical red flags detected. Good fit for management resume.")))</f>
        <v>🟢 CLEAN — No hands-on technical red flags detected. Good fit for management resume.</v>
      </c>
    </row>
    <row r="58" spans="1:2" ht="19.5" customHeight="1" x14ac:dyDescent="0.25">
      <c r="A58" s="75" t="s">
        <v>98</v>
      </c>
      <c r="B58" s="76" t="str">
        <f>IF(LEN(B10)&lt;50,"⏳ Waiting",(IF(ISNUMBER(SEARCH("manager",B12)),1,0)+IF(ISNUMBER(SEARCH("director",B12)),1,0)+IF(ISNUMBER(SEARCH("head of",B12)),1,0)+IF(ISNUMBER(SEARCH("lead ",B12)),1,0)+IF(ISNUMBER(SEARCH("leadership",B12)),1,0)+IF(ISNUMBER(SEARCH("stakeholder",B12)),1,0)+IF(ISNUMBER(SEARCH("strategy",B12)),1,0)+IF(ISNUMBER(SEARCH("govern",B12)),1,0)+IF(ISNUMBER(SEARCH("roadmap",B12)),1,0))&amp;" signals detected "&amp;IF((IF(ISNUMBER(SEARCH("manager",B12)),1,0)+IF(ISNUMBER(SEARCH("director",B12)),1,0)+IF(ISNUMBER(SEARCH("head of",B12)),1,0)+IF(ISNUMBER(SEARCH("lead ",B12)),1,0)+IF(ISNUMBER(SEARCH("leadership",B12)),1,0)+IF(ISNUMBER(SEARCH("stakeholder",B12)),1,0)+IF(ISNUMBER(SEARCH("strategy",B12)),1,0)+IF(ISNUMBER(SEARCH("govern",B12)),1,0)+IF(ISNUMBER(SEARCH("roadmap",B12)),1,0))&gt;=5,"→ 🟢 STRONG management role",IF((IF(ISNUMBER(SEARCH("manager",B12)),1,0)+IF(ISNUMBER(SEARCH("director",B12)),1,0)+IF(ISNUMBER(SEARCH("head of",B12)),1,0)+IF(ISNUMBER(SEARCH("lead ",B12)),1,0)+IF(ISNUMBER(SEARCH("leadership",B12)),1,0)+IF(ISNUMBER(SEARCH("stakeholder",B12)),1,0)+IF(ISNUMBER(SEARCH("strategy",B12)),1,0)+IF(ISNUMBER(SEARCH("govern",B12)),1,0)+IF(ISNUMBER(SEARCH("roadmap",B12)),1,0))&gt;=3,"→ 🟡 MODERATE management role","→ 🔴 WEAK management signals — may be an IC role")))</f>
        <v>6 signals detected → 🟢 STRONG management role</v>
      </c>
    </row>
    <row r="59" spans="1:2" ht="19.5" customHeight="1" x14ac:dyDescent="0.25">
      <c r="A59" s="75" t="s">
        <v>99</v>
      </c>
      <c r="B59" s="76" t="str">
        <f>IF(LEN(B10)&lt;50,"⏳ Waiting",(IF(B3="",0,1)+IF(B4="",0,1)+IF(B5="",0,1)+IF(B6="",0,1)+IF(B7="",0,1))&amp;" of 5 filled "&amp;IF((IF(B3="",0,1)+IF(B4="",0,1)+IF(B5="",0,1)+IF(B6="",0,1)+IF(B7="",0,1))=5,"→ 🟢 COMPLETE",IF((IF(B3="",0,1)+IF(B4="",0,1)+IF(B5="",0,1)+IF(B6="",0,1)+IF(B7="",0,1))&gt;=3,"→ 🟡 PARTIAL — fill Company/Role/Location for full context","→ 🔴 INCOMPLETE — fill in Company, Role, Location (rows 3-7) above")))</f>
        <v>0 of 5 filled → 🔴 INCOMPLETE — fill in Company, Role, Location (rows 3-7) above</v>
      </c>
    </row>
    <row r="60" spans="1:2" ht="19.5" customHeight="1" x14ac:dyDescent="0.25">
      <c r="A60" s="75" t="s">
        <v>100</v>
      </c>
      <c r="B60" s="76" t="str">
        <f>IF(LEN(B10)&lt;50,"⏳ Waiting",(IF(OR(ISNUMBER(SEARCH("responsibilit",B12)),ISNUMBER(SEARCH("what you'll do",B12)),ISNUMBER(SEARCH("what you will do",B12))),1,0)+IF(OR(ISNUMBER(SEARCH("requirement",B12)),ISNUMBER(SEARCH("qualification",B12)),ISNUMBER(SEARCH("must have",B12)),ISNUMBER(SEARCH("we're looking for",B12))),1,0)+IF(OR(ISNUMBER(SEARCH("preferred",B12)),ISNUMBER(SEARCH("nice to have",B12)),ISNUMBER(SEARCH("bonus",B12))),1,0)+IF(OR(ISNUMBER(SEARCH("about the company",B12)),ISNUMBER(SEARCH("about us",B12)),ISNUMBER(SEARCH("who we are",B12))),1,0))&amp;" of 4 sections detected "&amp;IF((IF(OR(ISNUMBER(SEARCH("responsibilit",B12)),ISNUMBER(SEARCH("what you'll do",B12)),ISNUMBER(SEARCH("what you will do",B12))),1,0)+IF(OR(ISNUMBER(SEARCH("requirement",B12)),ISNUMBER(SEARCH("qualification",B12)),ISNUMBER(SEARCH("must have",B12)),ISNUMBER(SEARCH("we're looking for",B12))),1,0)+IF(OR(ISNUMBER(SEARCH("preferred",B12)),ISNUMBER(SEARCH("nice to have",B12)),ISNUMBER(SEARCH("bonus",B12))),1,0)+IF(OR(ISNUMBER(SEARCH("about the company",B12)),ISNUMBER(SEARCH("about us",B12)),ISNUMBER(SEARCH("who we are",B12))),1,0))&gt;=3,"→ 🟢 Well-structured",IF((IF(OR(ISNUMBER(SEARCH("responsibilit",B12)),ISNUMBER(SEARCH("what you'll do",B12)),ISNUMBER(SEARCH("what you will do",B12))),1,0)+IF(OR(ISNUMBER(SEARCH("requirement",B12)),ISNUMBER(SEARCH("qualification",B12)),ISNUMBER(SEARCH("must have",B12)),ISNUMBER(SEARCH("we're looking for",B12))),1,0)+IF(OR(ISNUMBER(SEARCH("preferred",B12)),ISNUMBER(SEARCH("nice to have",B12)),ISNUMBER(SEARCH("bonus",B12))),1,0)+IF(OR(ISNUMBER(SEARCH("about the company",B12)),ISNUMBER(SEARCH("about us",B12)),ISNUMBER(SEARCH("who we are",B12))),1,0))&gt;=2,"→ 🟡 Partial structure","→ 🔴 Weak structure — JD may be a snippet or summary")))</f>
        <v>3 of 4 sections detected → 🟢 Well-structured</v>
      </c>
    </row>
    <row r="61" spans="1:2" ht="19.5" customHeight="1" x14ac:dyDescent="0.25">
      <c r="A61" s="75" t="s">
        <v>101</v>
      </c>
      <c r="B61" s="76" t="str">
        <f>IF(LEN(B10)&lt;50,"⏳ Waiting",IF(ISNUMBER(SEARCH("$",B10)),"🟢 SALARY DISCLOSED — $ figure present in JD",IF(OR(ISNUMBER(SEARCH("compensation",B12)),ISNUMBER(SEARCH("pay range",B12)),ISNUMBER(SEARCH("base pay",B12)),ISNUMBER(SEARCH("total comp",B12))),"🟡 COMP MENTIONED — no explicit $ figure","🔴 NOT DISCLOSED — negotiate carefully or ask upfront")))</f>
        <v>🔴 NOT DISCLOSED — negotiate carefully or ask upfront</v>
      </c>
    </row>
    <row r="62" spans="1:2" ht="25.5" customHeight="1" x14ac:dyDescent="0.25">
      <c r="A62" s="77" t="s">
        <v>102</v>
      </c>
      <c r="B62" s="78" t="str">
        <f>IF(LEN(B10)&lt;50,"⏳ Waiting for JD input",(IF(LEN(B10)-LEN(SUBSTITUTE(B10," ",""))+1&gt;=300,30,IF(LEN(B10)-LEN(SUBSTITUTE(B10," ",""))+1&gt;=150,20,10))+IF((IF(ISNUMBER(SEARCH("python",B12)),1,0)+IF(ISNUMBER(SEARCH("tensorflow",B12)),1,0)+IF(ISNUMBER(SEARCH("pytorch",B12)),1,0)+IF(ISNUMBER(SEARCH("data scientist",B12)),1,0)+IF(ISNUMBER(SEARCH("ml engineer",B12)),1,0)+IF(ISNUMBER(SEARCH("hands-on coding",B12)),1,0))&lt;=1,20,IF((IF(ISNUMBER(SEARCH("python",B12)),1,0)+IF(ISNUMBER(SEARCH("tensorflow",B12)),1,0)+IF(ISNUMBER(SEARCH("pytorch",B12)),1,0)+IF(ISNUMBER(SEARCH("data scientist",B12)),1,0)+IF(ISNUMBER(SEARCH("ml engineer",B12)),1,0)+IF(ISNUMBER(SEARCH("hands-on coding",B12)),1,0))&lt;=3,10,0))+IF((IF(ISNUMBER(SEARCH("manager",B12)),1,0)+IF(ISNUMBER(SEARCH("director",B12)),1,0)+IF(ISNUMBER(SEARCH("head of",B12)),1,0)+IF(ISNUMBER(SEARCH("leadership",B12)),1,0)+IF(ISNUMBER(SEARCH("stakeholder",B12)),1,0))&gt;=3,25,IF((IF(ISNUMBER(SEARCH("manager",B12)),1,0)+IF(ISNUMBER(SEARCH("director",B12)),1,0)+IF(ISNUMBER(SEARCH("head of",B12)),1,0)+IF(ISNUMBER(SEARCH("leadership",B12)),1,0)+IF(ISNUMBER(SEARCH("stakeholder",B12)),1,0))&gt;=1,15,5))+IF((IF(OR(ISNUMBER(SEARCH("responsibilit",B12)),ISNUMBER(SEARCH("what you'll do",B12))),1,0)+IF(OR(ISNUMBER(SEARCH("requirement",B12)),ISNUMBER(SEARCH("qualification",B12))),1,0))&gt;=2,15,IF((IF(OR(ISNUMBER(SEARCH("responsibilit",B12)),ISNUMBER(SEARCH("what you'll do",B12))),1,0)+IF(OR(ISNUMBER(SEARCH("requirement",B12)),ISNUMBER(SEARCH("qualification",B12))),1,0))&gt;=1,10,5))+IF((IF(B3="",0,1)+IF(B4="",0,1)+IF(B5="",0,1))&gt;=2,10,IF((IF(B3="",0,1)+IF(B4="",0,1)+IF(B5="",0,1))&gt;=1,5,0)))&amp;"/100 confidence — "&amp;IF((IF(LEN(B10)-LEN(SUBSTITUTE(B10," ",""))+1&gt;=300,30,IF(LEN(B10)-LEN(SUBSTITUTE(B10," ",""))+1&gt;=150,20,10))+IF((IF(ISNUMBER(SEARCH("python",B12)),1,0)+IF(ISNUMBER(SEARCH("tensorflow",B12)),1,0)+IF(ISNUMBER(SEARCH("pytorch",B12)),1,0)+IF(ISNUMBER(SEARCH("data scientist",B12)),1,0)+IF(ISNUMBER(SEARCH("ml engineer",B12)),1,0)+IF(ISNUMBER(SEARCH("hands-on coding",B12)),1,0))&lt;=1,20,IF((IF(ISNUMBER(SEARCH("python",B12)),1,0)+IF(ISNUMBER(SEARCH("tensorflow",B12)),1,0)+IF(ISNUMBER(SEARCH("pytorch",B12)),1,0)+IF(ISNUMBER(SEARCH("data scientist",B12)),1,0)+IF(ISNUMBER(SEARCH("ml engineer",B12)),1,0)+IF(ISNUMBER(SEARCH("hands-on coding",B12)),1,0))&lt;=3,10,0))+IF((IF(ISNUMBER(SEARCH("manager",B12)),1,0)+IF(ISNUMBER(SEARCH("director",B12)),1,0)+IF(ISNUMBER(SEARCH("head of",B12)),1,0)+IF(ISNUMBER(SEARCH("leadership",B12)),1,0)+IF(ISNUMBER(SEARCH("stakeholder",B12)),1,0))&gt;=3,25,IF((IF(ISNUMBER(SEARCH("manager",B12)),1,0)+IF(ISNUMBER(SEARCH("director",B12)),1,0)+IF(ISNUMBER(SEARCH("head of",B12)),1,0)+IF(ISNUMBER(SEARCH("leadership",B12)),1,0)+IF(ISNUMBER(SEARCH("stakeholder",B12)),1,0))&gt;=1,15,5))+IF((IF(OR(ISNUMBER(SEARCH("responsibilit",B12)),ISNUMBER(SEARCH("what you'll do",B12))),1,0)+IF(OR(ISNUMBER(SEARCH("requirement",B12)),ISNUMBER(SEARCH("qualification",B12))),1,0))&gt;=2,15,IF((IF(OR(ISNUMBER(SEARCH("responsibilit",B12)),ISNUMBER(SEARCH("what you'll do",B12))),1,0)+IF(OR(ISNUMBER(SEARCH("requirement",B12)),ISNUMBER(SEARCH("qualification",B12))),1,0))&gt;=1,10,5))+IF((IF(B3="",0,1)+IF(B4="",0,1)+IF(B5="",0,1))&gt;=2,10,IF((IF(B3="",0,1)+IF(B4="",0,1)+IF(B5="",0,1))&gt;=1,5,0)))&gt;=80,"🟢 HIGH — trust the scores",IF((IF(LEN(B10)-LEN(SUBSTITUTE(B10," ",""))+1&gt;=300,30,IF(LEN(B10)-LEN(SUBSTITUTE(B10," ",""))+1&gt;=150,20,10))+IF((IF(ISNUMBER(SEARCH("python",B12)),1,0)+IF(ISNUMBER(SEARCH("tensorflow",B12)),1,0)+IF(ISNUMBER(SEARCH("pytorch",B12)),1,0)+IF(ISNUMBER(SEARCH("data scientist",B12)),1,0)+IF(ISNUMBER(SEARCH("ml engineer",B12)),1,0)+IF(ISNUMBER(SEARCH("hands-on coding",B12)),1,0))&lt;=1,20,IF((IF(ISNUMBER(SEARCH("python",B12)),1,0)+IF(ISNUMBER(SEARCH("tensorflow",B12)),1,0)+IF(ISNUMBER(SEARCH("pytorch",B12)),1,0)+IF(ISNUMBER(SEARCH("data scientist",B12)),1,0)+IF(ISNUMBER(SEARCH("ml engineer",B12)),1,0)+IF(ISNUMBER(SEARCH("hands-on coding",B12)),1,0))&lt;=3,10,0))+IF((IF(ISNUMBER(SEARCH("manager",B12)),1,0)+IF(ISNUMBER(SEARCH("director",B12)),1,0)+IF(ISNUMBER(SEARCH("head of",B12)),1,0)+IF(ISNUMBER(SEARCH("leadership",B12)),1,0)+IF(ISNUMBER(SEARCH("stakeholder",B12)),1,0))&gt;=3,25,IF((IF(ISNUMBER(SEARCH("manager",B12)),1,0)+IF(ISNUMBER(SEARCH("director",B12)),1,0)+IF(ISNUMBER(SEARCH("head of",B12)),1,0)+IF(ISNUMBER(SEARCH("leadership",B12)),1,0)+IF(ISNUMBER(SEARCH("stakeholder",B12)),1,0))&gt;=1,15,5))+IF((IF(OR(ISNUMBER(SEARCH("responsibilit",B12)),ISNUMBER(SEARCH("what you'll do",B12))),1,0)+IF(OR(ISNUMBER(SEARCH("requirement",B12)),ISNUMBER(SEARCH("qualification",B12))),1,0))&gt;=2,15,IF((IF(OR(ISNUMBER(SEARCH("responsibilit",B12)),ISNUMBER(SEARCH("what you'll do",B12))),1,0)+IF(OR(ISNUMBER(SEARCH("requirement",B12)),ISNUMBER(SEARCH("qualification",B12))),1,0))&gt;=1,10,5))+IF((IF(B3="",0,1)+IF(B4="",0,1)+IF(B5="",0,1))&gt;=2,10,IF((IF(B3="",0,1)+IF(B4="",0,1)+IF(B5="",0,1))&gt;=1,5,0)))&gt;=60,"🔵 GOOD — scores are reliable",IF((IF(LEN(B10)-LEN(SUBSTITUTE(B10," ",""))+1&gt;=300,30,IF(LEN(B10)-LEN(SUBSTITUTE(B10," ",""))+1&gt;=150,20,10))+IF((IF(ISNUMBER(SEARCH("python",B12)),1,0)+IF(ISNUMBER(SEARCH("tensorflow",B12)),1,0)+IF(ISNUMBER(SEARCH("pytorch",B12)),1,0)+IF(ISNUMBER(SEARCH("data scientist",B12)),1,0)+IF(ISNUMBER(SEARCH("ml engineer",B12)),1,0)+IF(ISNUMBER(SEARCH("hands-on coding",B12)),1,0))&lt;=1,20,IF((IF(ISNUMBER(SEARCH("python",B12)),1,0)+IF(ISNUMBER(SEARCH("tensorflow",B12)),1,0)+IF(ISNUMBER(SEARCH("pytorch",B12)),1,0)+IF(ISNUMBER(SEARCH("data scientist",B12)),1,0)+IF(ISNUMBER(SEARCH("ml engineer",B12)),1,0)+IF(ISNUMBER(SEARCH("hands-on coding",B12)),1,0))&lt;=3,10,0))+IF((IF(ISNUMBER(SEARCH("manager",B12)),1,0)+IF(ISNUMBER(SEARCH("director",B12)),1,0)+IF(ISNUMBER(SEARCH("head of",B12)),1,0)+IF(ISNUMBER(SEARCH("leadership",B12)),1,0)+IF(ISNUMBER(SEARCH("stakeholder",B12)),1,0))&gt;=3,25,IF((IF(ISNUMBER(SEARCH("manager",B12)),1,0)+IF(ISNUMBER(SEARCH("director",B12)),1,0)+IF(ISNUMBER(SEARCH("head of",B12)),1,0)+IF(ISNUMBER(SEARCH("leadership",B12)),1,0)+IF(ISNUMBER(SEARCH("stakeholder",B12)),1,0))&gt;=1,15,5))+IF((IF(OR(ISNUMBER(SEARCH("responsibilit",B12)),ISNUMBER(SEARCH("what you'll do",B12))),1,0)+IF(OR(ISNUMBER(SEARCH("requirement",B12)),ISNUMBER(SEARCH("qualification",B12))),1,0))&gt;=2,15,IF((IF(OR(ISNUMBER(SEARCH("responsibilit",B12)),ISNUMBER(SEARCH("what you'll do",B12))),1,0)+IF(OR(ISNUMBER(SEARCH("requirement",B12)),ISNUMBER(SEARCH("qualification",B12))),1,0))&gt;=1,10,5))+IF((IF(B3="",0,1)+IF(B4="",0,1)+IF(B5="",0,1))&gt;=2,10,IF((IF(B3="",0,1)+IF(B4="",0,1)+IF(B5="",0,1))&gt;=1,5,0)))&gt;=40,"🟡 MODERATE — interpret scores with care","🔴 LOW — add more JD content or metadata"))))</f>
        <v>80/100 confidence — 🟢 HIGH — trust the scores</v>
      </c>
    </row>
    <row r="63" spans="1:2" ht="30" customHeight="1" x14ac:dyDescent="0.25">
      <c r="A63" s="79" t="s">
        <v>103</v>
      </c>
      <c r="B63" s="80" t="str">
        <f ca="1">IF(LEN(B10)&lt;50,"⏳ Waiting",IF(AND(MAX(AI_SCORE!D26,TPM_SCORE!D26,ITDM_SCORE!D26,PM_SCORE!D26)&gt;=25,(IF(ISNUMBER(SEARCH("python",B12)),1,0)+IF(ISNUMBER(SEARCH("tensorflow",B12)),1,0)+IF(ISNUMBER(SEARCH("pytorch",B12)),1,0)+IF(ISNUMBER(SEARCH("data scientist",B12)),1,0)+IF(ISNUMBER(SEARCH("ml engineer",B12)),1,0))&lt;3),"🟢 YES — Strong match + management-friendly. Apply with confidence.",IF(AND(MAX(AI_SCORE!D26,TPM_SCORE!D26,ITDM_SCORE!D26,PM_SCORE!D26)&gt;=18,(IF(ISNUMBER(SEARCH("python",B12)),1,0)+IF(ISNUMBER(SEARCH("tensorflow",B12)),1,0)+IF(ISNUMBER(SEARCH("pytorch",B12)),1,0)+IF(ISNUMBER(SEARCH("data scientist",B12)),1,0)+IF(ISNUMBER(SEARCH("ml engineer",B12)),1,0))&lt;3),"🟡 MAYBE — Moderate match. Tailor heavily before applying.",IF((IF(ISNUMBER(SEARCH("python",B12)),1,0)+IF(ISNUMBER(SEARCH("tensorflow",B12)),1,0)+IF(ISNUMBER(SEARCH("pytorch",B12)),1,0)+IF(ISNUMBER(SEARCH("data scientist",B12)),1,0)+IF(ISNUMBER(SEARCH("ml engineer",B12)),1,0))&gt;=3,"🔴 SKIP — JD requires hands-on technical work. Not a fit for management resume.","🔴 SKIP — Low score. Not a strong fit for any of the 4 tracks."))))</f>
        <v>🟡 MAYBE — Moderate match. Tailor heavily before applying.</v>
      </c>
    </row>
    <row r="65" spans="1:2" ht="13.5" customHeight="1" x14ac:dyDescent="0.25">
      <c r="A65" s="193" t="s">
        <v>104</v>
      </c>
      <c r="B65" s="185"/>
    </row>
  </sheetData>
  <mergeCells count="21">
    <mergeCell ref="A65:B65"/>
    <mergeCell ref="A24:B24"/>
    <mergeCell ref="A30:B30"/>
    <mergeCell ref="A36:B36"/>
    <mergeCell ref="A54:B54"/>
    <mergeCell ref="A8:B8"/>
    <mergeCell ref="A11:B11"/>
    <mergeCell ref="A13:B13"/>
    <mergeCell ref="A16:B16"/>
    <mergeCell ref="A23:B23"/>
    <mergeCell ref="A29:B29"/>
    <mergeCell ref="A35:B35"/>
    <mergeCell ref="A40:B40"/>
    <mergeCell ref="A42:B42"/>
    <mergeCell ref="A51:B51"/>
    <mergeCell ref="A53:B53"/>
    <mergeCell ref="A1:B1"/>
    <mergeCell ref="A9:B9"/>
    <mergeCell ref="A14:B14"/>
    <mergeCell ref="A15:B15"/>
    <mergeCell ref="A17:B17"/>
  </mergeCells>
  <pageMargins left="0.7" right="0.7" top="0.75" bottom="0.75" header="0.3" footer="0.3"/>
  <pageSetup orientation="portrait"/>
  <headerFooter>
    <oddHeader>&amp;L&amp;C&amp;R</oddHeader>
    <oddFooter>&amp;L&amp;C&amp;R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EB8CA-0848-4AB8-B3D8-379D069295CC}">
  <dimension ref="A1:H36"/>
  <sheetViews>
    <sheetView zoomScale="80" workbookViewId="0">
      <pane ySplit="3" topLeftCell="A4" activePane="bottomLeft" state="frozen"/>
      <selection pane="bottomLeft" sqref="A1:E1"/>
    </sheetView>
  </sheetViews>
  <sheetFormatPr defaultColWidth="8.85546875" defaultRowHeight="15" customHeight="1" x14ac:dyDescent="0.25"/>
  <cols>
    <col min="1" max="1" width="40" customWidth="1"/>
    <col min="2" max="2" width="11.42578125" customWidth="1"/>
    <col min="3" max="3" width="14.28515625" customWidth="1"/>
    <col min="4" max="4" width="17.140625" customWidth="1"/>
    <col min="5" max="5" width="57.140625" customWidth="1"/>
    <col min="8" max="8" width="37.140625" customWidth="1"/>
  </cols>
  <sheetData>
    <row r="1" spans="1:8" ht="22.5" customHeight="1" x14ac:dyDescent="0.25">
      <c r="A1" s="177" t="s">
        <v>105</v>
      </c>
      <c r="B1" s="165"/>
      <c r="C1" s="165"/>
      <c r="D1" s="165"/>
      <c r="E1" s="165"/>
    </row>
    <row r="3" spans="1:8" ht="19.5" customHeight="1" x14ac:dyDescent="0.25">
      <c r="A3" s="81" t="s">
        <v>106</v>
      </c>
      <c r="B3" s="81" t="s">
        <v>107</v>
      </c>
      <c r="C3" s="81" t="s">
        <v>108</v>
      </c>
      <c r="D3" s="81" t="s">
        <v>109</v>
      </c>
      <c r="E3" s="81" t="s">
        <v>110</v>
      </c>
      <c r="H3" s="82" t="s">
        <v>111</v>
      </c>
    </row>
    <row r="4" spans="1:8" ht="19.5" customHeight="1" x14ac:dyDescent="0.25">
      <c r="A4" s="83" t="s">
        <v>112</v>
      </c>
      <c r="B4" s="84">
        <v>2</v>
      </c>
      <c r="C4" s="85">
        <f ca="1">IF(LEN(JD_INPUT!$B$12)&lt;5,0,MIN(2,SUMPRODUCT(--ISNUMBER(SEARCH(TRIM(MID(SUBSTITUTE(KEYWORDS!$B$3,"|",REPT(" ",200)),(ROW(INDIRECT("1:"&amp;KEYWORDS!$C$3))-1)*200+1,200)),JD_INPUT!$B$12)))))</f>
        <v>0</v>
      </c>
      <c r="D4" s="86">
        <f t="shared" ref="D4:D18" ca="1" si="0">B4*C4</f>
        <v>0</v>
      </c>
      <c r="E4" s="87" t="str">
        <f t="shared" ref="E4:E18" ca="1" si="1">IF(C4=0,"No keyword match",IF(C4=1,"1 variant matched","2+ variants matched"))</f>
        <v>No keyword match</v>
      </c>
      <c r="G4">
        <f t="shared" ref="G4:G18" ca="1" si="2">IF(C4=0,COUNTIF($C$4:C4,0),"")</f>
        <v>1</v>
      </c>
      <c r="H4" s="88" t="str">
        <f t="shared" ref="H4:H18" ca="1" si="3">IF(D4=0,REPT("░",20),REPT("█",MIN(20,D4*5))&amp;REPT("░",MAX(0,20-MIN(20,D4*5))))</f>
        <v>░░░░░░░░░░░░░░░░░░░░</v>
      </c>
    </row>
    <row r="5" spans="1:8" ht="19.5" customHeight="1" x14ac:dyDescent="0.25">
      <c r="A5" s="83" t="s">
        <v>113</v>
      </c>
      <c r="B5" s="84">
        <v>2</v>
      </c>
      <c r="C5" s="85">
        <f ca="1">IF(LEN(JD_INPUT!$B$12)&lt;5,0,MIN(2,SUMPRODUCT(--ISNUMBER(SEARCH(TRIM(MID(SUBSTITUTE(KEYWORDS!$B$4,"|",REPT(" ",200)),(ROW(INDIRECT("1:"&amp;KEYWORDS!$C$4))-1)*200+1,200)),JD_INPUT!$B$12)))))</f>
        <v>0</v>
      </c>
      <c r="D5" s="86">
        <f t="shared" ca="1" si="0"/>
        <v>0</v>
      </c>
      <c r="E5" s="87" t="str">
        <f t="shared" ca="1" si="1"/>
        <v>No keyword match</v>
      </c>
      <c r="G5">
        <f t="shared" ca="1" si="2"/>
        <v>2</v>
      </c>
      <c r="H5" s="88" t="str">
        <f t="shared" ca="1" si="3"/>
        <v>░░░░░░░░░░░░░░░░░░░░</v>
      </c>
    </row>
    <row r="6" spans="1:8" ht="19.5" customHeight="1" x14ac:dyDescent="0.25">
      <c r="A6" s="83" t="s">
        <v>114</v>
      </c>
      <c r="B6" s="84">
        <v>2</v>
      </c>
      <c r="C6" s="85">
        <f ca="1">IF(LEN(JD_INPUT!$B$12)&lt;5,0,MIN(2,SUMPRODUCT(--ISNUMBER(SEARCH(TRIM(MID(SUBSTITUTE(KEYWORDS!$B$5,"|",REPT(" ",200)),(ROW(INDIRECT("1:"&amp;KEYWORDS!$C$5))-1)*200+1,200)),JD_INPUT!$B$12)))))</f>
        <v>0</v>
      </c>
      <c r="D6" s="89">
        <f t="shared" ca="1" si="0"/>
        <v>0</v>
      </c>
      <c r="E6" s="87" t="str">
        <f t="shared" ca="1" si="1"/>
        <v>No keyword match</v>
      </c>
      <c r="G6">
        <f t="shared" ca="1" si="2"/>
        <v>3</v>
      </c>
      <c r="H6" s="90" t="str">
        <f t="shared" ca="1" si="3"/>
        <v>░░░░░░░░░░░░░░░░░░░░</v>
      </c>
    </row>
    <row r="7" spans="1:8" ht="19.5" customHeight="1" x14ac:dyDescent="0.25">
      <c r="A7" s="83" t="s">
        <v>115</v>
      </c>
      <c r="B7" s="84">
        <v>2</v>
      </c>
      <c r="C7" s="85">
        <f ca="1">IF(LEN(JD_INPUT!$B$12)&lt;5,0,MIN(2,SUMPRODUCT(--ISNUMBER(SEARCH(TRIM(MID(SUBSTITUTE(KEYWORDS!$B$6,"|",REPT(" ",200)),(ROW(INDIRECT("1:"&amp;KEYWORDS!$C$6))-1)*200+1,200)),JD_INPUT!$B$12)))))</f>
        <v>0</v>
      </c>
      <c r="D7" s="86">
        <f t="shared" ca="1" si="0"/>
        <v>0</v>
      </c>
      <c r="E7" s="87" t="str">
        <f t="shared" ca="1" si="1"/>
        <v>No keyword match</v>
      </c>
      <c r="G7">
        <f t="shared" ca="1" si="2"/>
        <v>4</v>
      </c>
      <c r="H7" s="88" t="str">
        <f t="shared" ca="1" si="3"/>
        <v>░░░░░░░░░░░░░░░░░░░░</v>
      </c>
    </row>
    <row r="8" spans="1:8" ht="19.5" customHeight="1" x14ac:dyDescent="0.25">
      <c r="A8" s="83" t="s">
        <v>116</v>
      </c>
      <c r="B8" s="84">
        <v>2</v>
      </c>
      <c r="C8" s="85">
        <f ca="1">IF(LEN(JD_INPUT!$B$12)&lt;5,0,MIN(2,SUMPRODUCT(--ISNUMBER(SEARCH(TRIM(MID(SUBSTITUTE(KEYWORDS!$B$7,"|",REPT(" ",200)),(ROW(INDIRECT("1:"&amp;KEYWORDS!$C$7))-1)*200+1,200)),JD_INPUT!$B$12)))))</f>
        <v>0</v>
      </c>
      <c r="D8" s="86">
        <f t="shared" ca="1" si="0"/>
        <v>0</v>
      </c>
      <c r="E8" s="87" t="str">
        <f t="shared" ca="1" si="1"/>
        <v>No keyword match</v>
      </c>
      <c r="G8">
        <f t="shared" ca="1" si="2"/>
        <v>5</v>
      </c>
      <c r="H8" s="88" t="str">
        <f t="shared" ca="1" si="3"/>
        <v>░░░░░░░░░░░░░░░░░░░░</v>
      </c>
    </row>
    <row r="9" spans="1:8" ht="19.5" customHeight="1" x14ac:dyDescent="0.25">
      <c r="A9" s="83" t="s">
        <v>117</v>
      </c>
      <c r="B9" s="84">
        <v>2</v>
      </c>
      <c r="C9" s="85">
        <f ca="1">IF(LEN(JD_INPUT!$B$12)&lt;5,0,MIN(2,SUMPRODUCT(--ISNUMBER(SEARCH(TRIM(MID(SUBSTITUTE(KEYWORDS!$B$8,"|",REPT(" ",200)),(ROW(INDIRECT("1:"&amp;KEYWORDS!$C$8))-1)*200+1,200)),JD_INPUT!$B$12)))))</f>
        <v>0</v>
      </c>
      <c r="D9" s="86">
        <f t="shared" ca="1" si="0"/>
        <v>0</v>
      </c>
      <c r="E9" s="87" t="str">
        <f t="shared" ca="1" si="1"/>
        <v>No keyword match</v>
      </c>
      <c r="G9">
        <f t="shared" ca="1" si="2"/>
        <v>6</v>
      </c>
      <c r="H9" s="88" t="str">
        <f t="shared" ca="1" si="3"/>
        <v>░░░░░░░░░░░░░░░░░░░░</v>
      </c>
    </row>
    <row r="10" spans="1:8" ht="19.5" customHeight="1" x14ac:dyDescent="0.25">
      <c r="A10" s="83" t="s">
        <v>118</v>
      </c>
      <c r="B10" s="84">
        <v>2</v>
      </c>
      <c r="C10" s="85">
        <f ca="1">IF(LEN(JD_INPUT!$B$12)&lt;5,0,MIN(2,SUMPRODUCT(--ISNUMBER(SEARCH(TRIM(MID(SUBSTITUTE(KEYWORDS!$B$9,"|",REPT(" ",200)),(ROW(INDIRECT("1:"&amp;KEYWORDS!$C$9))-1)*200+1,200)),JD_INPUT!$B$12)))))</f>
        <v>0</v>
      </c>
      <c r="D10" s="86">
        <f t="shared" ca="1" si="0"/>
        <v>0</v>
      </c>
      <c r="E10" s="87" t="str">
        <f t="shared" ca="1" si="1"/>
        <v>No keyword match</v>
      </c>
      <c r="G10">
        <f t="shared" ca="1" si="2"/>
        <v>7</v>
      </c>
      <c r="H10" s="88" t="str">
        <f t="shared" ca="1" si="3"/>
        <v>░░░░░░░░░░░░░░░░░░░░</v>
      </c>
    </row>
    <row r="11" spans="1:8" ht="19.5" customHeight="1" x14ac:dyDescent="0.25">
      <c r="A11" s="83" t="s">
        <v>89</v>
      </c>
      <c r="B11" s="84">
        <v>2</v>
      </c>
      <c r="C11" s="85">
        <f ca="1">IF(LEN(JD_INPUT!$B$12)&lt;5,0,MIN(2,SUMPRODUCT(--ISNUMBER(SEARCH(TRIM(MID(SUBSTITUTE(KEYWORDS!$B$10,"|",REPT(" ",200)),(ROW(INDIRECT("1:"&amp;KEYWORDS!$C$10))-1)*200+1,200)),JD_INPUT!$B$12)))))</f>
        <v>1</v>
      </c>
      <c r="D11" s="91">
        <f t="shared" ca="1" si="0"/>
        <v>2</v>
      </c>
      <c r="E11" s="87" t="str">
        <f t="shared" ca="1" si="1"/>
        <v>1 variant matched</v>
      </c>
      <c r="G11" t="str">
        <f t="shared" ca="1" si="2"/>
        <v/>
      </c>
      <c r="H11" s="92" t="str">
        <f t="shared" ca="1" si="3"/>
        <v>██████████░░░░░░░░░░</v>
      </c>
    </row>
    <row r="12" spans="1:8" ht="19.5" customHeight="1" x14ac:dyDescent="0.25">
      <c r="A12" s="83" t="s">
        <v>119</v>
      </c>
      <c r="B12" s="84">
        <v>2</v>
      </c>
      <c r="C12" s="85">
        <f ca="1">IF(LEN(JD_INPUT!$B$12)&lt;5,0,MIN(2,SUMPRODUCT(--ISNUMBER(SEARCH(TRIM(MID(SUBSTITUTE(KEYWORDS!$B$11,"|",REPT(" ",200)),(ROW(INDIRECT("1:"&amp;KEYWORDS!$C$11))-1)*200+1,200)),JD_INPUT!$B$12)))))</f>
        <v>2</v>
      </c>
      <c r="D12" s="89">
        <f t="shared" ca="1" si="0"/>
        <v>4</v>
      </c>
      <c r="E12" s="87" t="str">
        <f t="shared" ca="1" si="1"/>
        <v>2+ variants matched</v>
      </c>
      <c r="G12" t="str">
        <f t="shared" ca="1" si="2"/>
        <v/>
      </c>
      <c r="H12" s="90" t="str">
        <f t="shared" ca="1" si="3"/>
        <v>████████████████████</v>
      </c>
    </row>
    <row r="13" spans="1:8" ht="19.5" customHeight="1" x14ac:dyDescent="0.25">
      <c r="A13" s="83" t="s">
        <v>120</v>
      </c>
      <c r="B13" s="84">
        <v>2</v>
      </c>
      <c r="C13" s="85">
        <f ca="1">IF(LEN(JD_INPUT!$B$12)&lt;5,0,MIN(2,SUMPRODUCT(--ISNUMBER(SEARCH(TRIM(MID(SUBSTITUTE(KEYWORDS!$B$12,"|",REPT(" ",200)),(ROW(INDIRECT("1:"&amp;KEYWORDS!$C$12))-1)*200+1,200)),JD_INPUT!$B$12)))))</f>
        <v>0</v>
      </c>
      <c r="D13" s="86">
        <f t="shared" ca="1" si="0"/>
        <v>0</v>
      </c>
      <c r="E13" s="87" t="str">
        <f t="shared" ca="1" si="1"/>
        <v>No keyword match</v>
      </c>
      <c r="G13">
        <f t="shared" ca="1" si="2"/>
        <v>8</v>
      </c>
      <c r="H13" s="88" t="str">
        <f t="shared" ca="1" si="3"/>
        <v>░░░░░░░░░░░░░░░░░░░░</v>
      </c>
    </row>
    <row r="14" spans="1:8" ht="19.5" customHeight="1" x14ac:dyDescent="0.25">
      <c r="A14" s="83" t="s">
        <v>121</v>
      </c>
      <c r="B14" s="84">
        <v>2</v>
      </c>
      <c r="C14" s="85">
        <f ca="1">IF(LEN(JD_INPUT!$B$12)&lt;5,0,MIN(2,SUMPRODUCT(--ISNUMBER(SEARCH(TRIM(MID(SUBSTITUTE(KEYWORDS!$B$13,"|",REPT(" ",200)),(ROW(INDIRECT("1:"&amp;KEYWORDS!$C$13))-1)*200+1,200)),JD_INPUT!$B$12)))))</f>
        <v>0</v>
      </c>
      <c r="D14" s="86">
        <f t="shared" ca="1" si="0"/>
        <v>0</v>
      </c>
      <c r="E14" s="87" t="str">
        <f t="shared" ca="1" si="1"/>
        <v>No keyword match</v>
      </c>
      <c r="G14">
        <f t="shared" ca="1" si="2"/>
        <v>9</v>
      </c>
      <c r="H14" s="88" t="str">
        <f t="shared" ca="1" si="3"/>
        <v>░░░░░░░░░░░░░░░░░░░░</v>
      </c>
    </row>
    <row r="15" spans="1:8" ht="19.5" customHeight="1" x14ac:dyDescent="0.25">
      <c r="A15" s="83" t="s">
        <v>122</v>
      </c>
      <c r="B15" s="84">
        <v>2</v>
      </c>
      <c r="C15" s="85">
        <f ca="1">IF(LEN(JD_INPUT!$B$12)&lt;5,0,MIN(2,SUMPRODUCT(--ISNUMBER(SEARCH(TRIM(MID(SUBSTITUTE(KEYWORDS!$B$14,"|",REPT(" ",200)),(ROW(INDIRECT("1:"&amp;KEYWORDS!$C$14))-1)*200+1,200)),JD_INPUT!$B$12)))))</f>
        <v>0</v>
      </c>
      <c r="D15" s="86">
        <f t="shared" ca="1" si="0"/>
        <v>0</v>
      </c>
      <c r="E15" s="87" t="str">
        <f t="shared" ca="1" si="1"/>
        <v>No keyword match</v>
      </c>
      <c r="G15">
        <f t="shared" ca="1" si="2"/>
        <v>10</v>
      </c>
      <c r="H15" s="88" t="str">
        <f t="shared" ca="1" si="3"/>
        <v>░░░░░░░░░░░░░░░░░░░░</v>
      </c>
    </row>
    <row r="16" spans="1:8" ht="19.5" customHeight="1" x14ac:dyDescent="0.25">
      <c r="A16" s="83" t="s">
        <v>123</v>
      </c>
      <c r="B16" s="84">
        <v>2</v>
      </c>
      <c r="C16" s="85">
        <f ca="1">IF(LEN(JD_INPUT!$B$12)&lt;5,0,MIN(2,SUMPRODUCT(--ISNUMBER(SEARCH(TRIM(MID(SUBSTITUTE(KEYWORDS!$B$15,"|",REPT(" ",200)),(ROW(INDIRECT("1:"&amp;KEYWORDS!$C$15))-1)*200+1,200)),JD_INPUT!$B$12)))))</f>
        <v>1</v>
      </c>
      <c r="D16" s="86">
        <f t="shared" ca="1" si="0"/>
        <v>2</v>
      </c>
      <c r="E16" s="87" t="str">
        <f t="shared" ca="1" si="1"/>
        <v>1 variant matched</v>
      </c>
      <c r="G16" t="str">
        <f t="shared" ca="1" si="2"/>
        <v/>
      </c>
      <c r="H16" s="88" t="str">
        <f t="shared" ca="1" si="3"/>
        <v>██████████░░░░░░░░░░</v>
      </c>
    </row>
    <row r="17" spans="1:8" ht="19.5" customHeight="1" x14ac:dyDescent="0.25">
      <c r="A17" s="83" t="s">
        <v>124</v>
      </c>
      <c r="B17" s="84">
        <v>2</v>
      </c>
      <c r="C17" s="85">
        <f ca="1">IF(LEN(JD_INPUT!$B$12)&lt;5,0,MIN(2,SUMPRODUCT(--ISNUMBER(SEARCH(TRIM(MID(SUBSTITUTE(KEYWORDS!$B$16,"|",REPT(" ",200)),(ROW(INDIRECT("1:"&amp;KEYWORDS!$C$16))-1)*200+1,200)),JD_INPUT!$B$12)))))</f>
        <v>1</v>
      </c>
      <c r="D17" s="91">
        <f t="shared" ca="1" si="0"/>
        <v>2</v>
      </c>
      <c r="E17" s="87" t="str">
        <f t="shared" ca="1" si="1"/>
        <v>1 variant matched</v>
      </c>
      <c r="G17" t="str">
        <f t="shared" ca="1" si="2"/>
        <v/>
      </c>
      <c r="H17" s="92" t="str">
        <f t="shared" ca="1" si="3"/>
        <v>██████████░░░░░░░░░░</v>
      </c>
    </row>
    <row r="18" spans="1:8" ht="19.5" customHeight="1" x14ac:dyDescent="0.25">
      <c r="A18" s="83" t="s">
        <v>125</v>
      </c>
      <c r="B18" s="84">
        <v>2</v>
      </c>
      <c r="C18" s="85">
        <f ca="1">IF(LEN(JD_INPUT!$B$12)&lt;5,0,MIN(2,SUMPRODUCT(--ISNUMBER(SEARCH(TRIM(MID(SUBSTITUTE(KEYWORDS!$B$17,"|",REPT(" ",200)),(ROW(INDIRECT("1:"&amp;KEYWORDS!$C$17))-1)*200+1,200)),JD_INPUT!$B$12)))))</f>
        <v>1</v>
      </c>
      <c r="D18" s="91">
        <f t="shared" ca="1" si="0"/>
        <v>2</v>
      </c>
      <c r="E18" s="87" t="str">
        <f t="shared" ca="1" si="1"/>
        <v>1 variant matched</v>
      </c>
      <c r="G18" t="str">
        <f t="shared" ca="1" si="2"/>
        <v/>
      </c>
      <c r="H18" s="92" t="str">
        <f t="shared" ca="1" si="3"/>
        <v>██████████░░░░░░░░░░</v>
      </c>
    </row>
    <row r="19" spans="1:8" ht="24" customHeight="1" x14ac:dyDescent="0.25">
      <c r="A19" s="194" t="s">
        <v>126</v>
      </c>
      <c r="B19" s="165"/>
      <c r="C19" s="165"/>
      <c r="D19" s="93">
        <f ca="1">SUM(D4:D18)</f>
        <v>12</v>
      </c>
      <c r="E19" s="94"/>
      <c r="H19" s="95" t="str">
        <f ca="1">IF(D19=0,"⏳ Waiting for JD",REPT("█",MIN(30,D19))&amp;"  ("&amp;D19&amp;"/30)")</f>
        <v>████████████  (12/30)</v>
      </c>
    </row>
    <row r="20" spans="1:8" ht="21" customHeight="1" x14ac:dyDescent="0.25">
      <c r="H20" s="96" t="s">
        <v>127</v>
      </c>
    </row>
    <row r="21" spans="1:8" ht="18.75" customHeight="1" x14ac:dyDescent="0.25">
      <c r="A21" s="195" t="s">
        <v>128</v>
      </c>
      <c r="B21" s="165"/>
      <c r="C21" s="165"/>
      <c r="D21" s="165"/>
      <c r="E21" s="165"/>
    </row>
    <row r="22" spans="1:8" ht="15" customHeight="1" x14ac:dyDescent="0.25">
      <c r="A22" s="196" t="s">
        <v>129</v>
      </c>
      <c r="B22" s="165"/>
      <c r="C22" s="165"/>
      <c r="D22" s="85">
        <f>MIN(5,IF(ISNUMBER(SEARCH("ai transformation",JD_INPUT!$B$12)),1,0)+IF(ISNUMBER(SEARCH("digital transformation",JD_INPUT!$B$12)),1,0)+IF(ISNUMBER(SEARCH("automation",JD_INPUT!$B$12)),1,0)+IF(ISNUMBER(SEARCH("modernization",JD_INPUT!$B$12)),1,0)+IF(ISNUMBER(SEARCH("innovation",JD_INPUT!$B$12)),1,0))</f>
        <v>1</v>
      </c>
      <c r="E22" s="8" t="s">
        <v>130</v>
      </c>
    </row>
    <row r="23" spans="1:8" ht="15" customHeight="1" x14ac:dyDescent="0.25">
      <c r="A23" s="196" t="s">
        <v>131</v>
      </c>
      <c r="B23" s="165"/>
      <c r="C23" s="165"/>
      <c r="D23" s="85">
        <f>MIN(5,IF(ISNUMBER(SEARCH("ai",JD_INPUT!$B$12)),1,0)+IF(ISNUMBER(SEARCH("transformation",JD_INPUT!$B$12)),1,0)+IF(ISNUMBER(SEARCH("digital",JD_INPUT!$B$12)),1,0)+IF(ISNUMBER(SEARCH("consulting",JD_INPUT!$B$12)),1,0)+IF(ISNUMBER(SEARCH("strategy",JD_INPUT!$B$12)),1,0))</f>
        <v>4</v>
      </c>
      <c r="E23" s="8" t="s">
        <v>132</v>
      </c>
    </row>
    <row r="24" spans="1:8" ht="15" customHeight="1" x14ac:dyDescent="0.25">
      <c r="A24" s="196" t="s">
        <v>133</v>
      </c>
      <c r="B24" s="165"/>
      <c r="C24" s="165"/>
      <c r="D24" s="97">
        <f>MIN(5,IF(ISNUMBER(SEARCH("python",JD_INPUT!$B$12)),1,0)+IF(ISNUMBER(SEARCH("tensorflow",JD_INPUT!$B$12)),1,0)+IF(ISNUMBER(SEARCH("pytorch",JD_INPUT!$B$12)),1,0)+IF(ISNUMBER(SEARCH("data scientist",JD_INPUT!$B$12)),1,0)+IF(ISNUMBER(SEARCH("ml engineer",JD_INPUT!$B$12)),1,0))</f>
        <v>0</v>
      </c>
      <c r="E24" s="8" t="s">
        <v>134</v>
      </c>
    </row>
    <row r="26" spans="1:8" ht="15" customHeight="1" x14ac:dyDescent="0.25">
      <c r="A26" s="197" t="s">
        <v>135</v>
      </c>
      <c r="B26" s="165"/>
      <c r="C26" s="165"/>
      <c r="D26" s="98">
        <f ca="1">D19+D22+D23-D24</f>
        <v>17</v>
      </c>
      <c r="E26" s="99"/>
    </row>
    <row r="28" spans="1:8" ht="18.75" customHeight="1" x14ac:dyDescent="0.25">
      <c r="A28" s="198" t="s">
        <v>136</v>
      </c>
      <c r="B28" s="165"/>
      <c r="C28" s="165"/>
      <c r="D28" s="165"/>
      <c r="E28" s="165"/>
    </row>
    <row r="29" spans="1:8" ht="16.5" customHeight="1" x14ac:dyDescent="0.25">
      <c r="A29" s="199"/>
      <c r="B29" s="165"/>
      <c r="C29" s="165"/>
      <c r="D29" s="165"/>
      <c r="E29" s="165"/>
    </row>
    <row r="30" spans="1:8" ht="24" customHeight="1" x14ac:dyDescent="0.25">
      <c r="A30" s="200" t="s">
        <v>137</v>
      </c>
      <c r="B30" s="165"/>
      <c r="C30" s="165"/>
      <c r="D30" s="165"/>
      <c r="E30" s="165"/>
    </row>
    <row r="31" spans="1:8" ht="19.5" customHeight="1" x14ac:dyDescent="0.25">
      <c r="A31" s="201" t="s">
        <v>138</v>
      </c>
      <c r="B31" s="201" t="s">
        <v>139</v>
      </c>
      <c r="C31" s="201" t="s">
        <v>107</v>
      </c>
      <c r="D31" s="201" t="s">
        <v>140</v>
      </c>
      <c r="E31" s="201" t="s">
        <v>141</v>
      </c>
    </row>
    <row r="32" spans="1:8" ht="22.5" customHeight="1" x14ac:dyDescent="0.25">
      <c r="A32" s="202">
        <v>1</v>
      </c>
      <c r="B32" s="203" t="str">
        <f ca="1">IFERROR(INDEX($A$4:$A$18,MATCH(1,$G$4:$G$18,0)),"All matched")</f>
        <v>AI transformation</v>
      </c>
      <c r="C32" s="204">
        <f t="shared" ref="C32:C36" ca="1" si="4">IFERROR(VLOOKUP(B32,$A$4:$B$18,2,FALSE),"-")</f>
        <v>2</v>
      </c>
      <c r="D32" s="205" t="str">
        <f t="shared" ref="D32:D36" ca="1" si="5">IF(ISNUMBER(C32),"+"&amp;(C32*2)&amp;" pts","-")</f>
        <v>+4 pts</v>
      </c>
      <c r="E32" s="206" t="str">
        <f t="shared" ref="E32:E36" ca="1" si="6">"Add a bullet mentioning: "&amp;B32</f>
        <v>Add a bullet mentioning: AI transformation</v>
      </c>
    </row>
    <row r="33" spans="1:5" ht="22.5" customHeight="1" x14ac:dyDescent="0.25">
      <c r="A33" s="202">
        <v>2</v>
      </c>
      <c r="B33" s="203" t="str">
        <f ca="1">IFERROR(INDEX($A$4:$A$18,MATCH(2,$G$4:$G$18,0)),"All matched")</f>
        <v>Digital transformation</v>
      </c>
      <c r="C33" s="204">
        <f t="shared" ca="1" si="4"/>
        <v>2</v>
      </c>
      <c r="D33" s="205" t="str">
        <f t="shared" ca="1" si="5"/>
        <v>+4 pts</v>
      </c>
      <c r="E33" s="206" t="str">
        <f t="shared" ca="1" si="6"/>
        <v>Add a bullet mentioning: Digital transformation</v>
      </c>
    </row>
    <row r="34" spans="1:5" ht="22.5" customHeight="1" x14ac:dyDescent="0.25">
      <c r="A34" s="100">
        <v>3</v>
      </c>
      <c r="B34" s="101" t="str">
        <f ca="1">IFERROR(INDEX($A$4:$A$18,MATCH(3,$G$4:$G$18,0)),"All matched")</f>
        <v>Generative AI / GenAI</v>
      </c>
      <c r="C34" s="102">
        <f t="shared" ca="1" si="4"/>
        <v>2</v>
      </c>
      <c r="D34" s="103" t="str">
        <f t="shared" ca="1" si="5"/>
        <v>+4 pts</v>
      </c>
      <c r="E34" s="104" t="str">
        <f t="shared" ca="1" si="6"/>
        <v>Add a bullet mentioning: Generative AI / GenAI</v>
      </c>
    </row>
    <row r="35" spans="1:5" ht="22.5" customHeight="1" x14ac:dyDescent="0.25">
      <c r="A35" s="100">
        <v>4</v>
      </c>
      <c r="B35" s="101" t="str">
        <f ca="1">IFERROR(INDEX($A$4:$A$18,MATCH(4,$G$4:$G$18,0)),"All matched")</f>
        <v>Intelligent automation</v>
      </c>
      <c r="C35" s="102">
        <f t="shared" ca="1" si="4"/>
        <v>2</v>
      </c>
      <c r="D35" s="103" t="str">
        <f t="shared" ca="1" si="5"/>
        <v>+4 pts</v>
      </c>
      <c r="E35" s="104" t="str">
        <f t="shared" ca="1" si="6"/>
        <v>Add a bullet mentioning: Intelligent automation</v>
      </c>
    </row>
    <row r="36" spans="1:5" ht="22.5" customHeight="1" x14ac:dyDescent="0.25">
      <c r="A36" s="100">
        <v>5</v>
      </c>
      <c r="B36" s="101" t="str">
        <f ca="1">IFERROR(INDEX($A$4:$A$18,MATCH(5,$G$4:$G$18,0)),"All matched")</f>
        <v>AI adoption / AI strategy</v>
      </c>
      <c r="C36" s="102">
        <f t="shared" ca="1" si="4"/>
        <v>2</v>
      </c>
      <c r="D36" s="103" t="str">
        <f t="shared" ca="1" si="5"/>
        <v>+4 pts</v>
      </c>
      <c r="E36" s="104" t="str">
        <f t="shared" ca="1" si="6"/>
        <v>Add a bullet mentioning: AI adoption / AI strategy</v>
      </c>
    </row>
  </sheetData>
  <mergeCells count="9">
    <mergeCell ref="A24:C24"/>
    <mergeCell ref="A26:C26"/>
    <mergeCell ref="A28:E28"/>
    <mergeCell ref="A29:E33"/>
    <mergeCell ref="A1:E1"/>
    <mergeCell ref="A19:C19"/>
    <mergeCell ref="A21:E21"/>
    <mergeCell ref="A22:C22"/>
    <mergeCell ref="A23:C23"/>
  </mergeCells>
  <pageMargins left="0.7" right="0.7" top="0.75" bottom="0.75" header="0.3" footer="0.3"/>
  <pageSetup orientation="portrait"/>
  <headerFooter>
    <oddHeader>&amp;L&amp;C&amp;R</oddHeader>
    <oddFooter>&amp;L&amp;C&amp;R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265E8-F924-AB1E-AECB-4226748CE4DE}">
  <dimension ref="A1:H36"/>
  <sheetViews>
    <sheetView workbookViewId="0">
      <pane ySplit="3" topLeftCell="A4" activePane="bottomLeft" state="frozen"/>
      <selection pane="bottomLeft" activeCell="D7" sqref="D7"/>
    </sheetView>
  </sheetViews>
  <sheetFormatPr defaultColWidth="8.85546875" defaultRowHeight="15" customHeight="1" x14ac:dyDescent="0.25"/>
  <cols>
    <col min="1" max="1" width="40" customWidth="1"/>
    <col min="2" max="2" width="11.42578125" customWidth="1"/>
    <col min="3" max="3" width="14.28515625" customWidth="1"/>
    <col min="4" max="4" width="17.140625" customWidth="1"/>
    <col min="5" max="5" width="57.140625" customWidth="1"/>
    <col min="8" max="8" width="37.140625" customWidth="1"/>
  </cols>
  <sheetData>
    <row r="1" spans="1:8" ht="22.5" customHeight="1" x14ac:dyDescent="0.25">
      <c r="A1" s="177" t="s">
        <v>142</v>
      </c>
      <c r="B1" s="165"/>
      <c r="C1" s="165"/>
      <c r="D1" s="165"/>
      <c r="E1" s="165"/>
    </row>
    <row r="3" spans="1:8" ht="19.5" customHeight="1" x14ac:dyDescent="0.25">
      <c r="A3" s="81" t="s">
        <v>106</v>
      </c>
      <c r="B3" s="81" t="s">
        <v>107</v>
      </c>
      <c r="C3" s="81" t="s">
        <v>108</v>
      </c>
      <c r="D3" s="81" t="s">
        <v>109</v>
      </c>
      <c r="E3" s="81" t="s">
        <v>110</v>
      </c>
      <c r="H3" s="82" t="s">
        <v>111</v>
      </c>
    </row>
    <row r="4" spans="1:8" ht="19.5" customHeight="1" x14ac:dyDescent="0.25">
      <c r="A4" s="83" t="s">
        <v>83</v>
      </c>
      <c r="B4" s="84">
        <v>2</v>
      </c>
      <c r="C4" s="85">
        <f ca="1">IF(LEN(JD_INPUT!$B$12)&lt;5,0,MIN(2,SUMPRODUCT(--ISNUMBER(SEARCH(TRIM(MID(SUBSTITUTE(KEYWORDS!$B$18,"|",REPT(" ",200)),(ROW(INDIRECT("1:"&amp;KEYWORDS!$C$18))-1)*200+1,200)),JD_INPUT!$B$12)))))</f>
        <v>0</v>
      </c>
      <c r="D4" s="86">
        <f t="shared" ref="D4:D18" ca="1" si="0">B4*C4</f>
        <v>0</v>
      </c>
      <c r="E4" s="87" t="str">
        <f t="shared" ref="E4:E18" ca="1" si="1">IF(C4=0,"No keyword match",IF(C4=1,"1 variant matched","2+ variants matched"))</f>
        <v>No keyword match</v>
      </c>
      <c r="G4">
        <f t="shared" ref="G4:G18" ca="1" si="2">IF(C4=0,COUNTIF($C$4:C4,0),"")</f>
        <v>1</v>
      </c>
      <c r="H4" s="88" t="str">
        <f t="shared" ref="H4:H18" ca="1" si="3">IF(D4=0,REPT("░",20),REPT("█",MIN(20,D4*5))&amp;REPT("░",MAX(0,20-MIN(20,D4*5))))</f>
        <v>░░░░░░░░░░░░░░░░░░░░</v>
      </c>
    </row>
    <row r="5" spans="1:8" ht="19.5" customHeight="1" x14ac:dyDescent="0.25">
      <c r="A5" s="83" t="s">
        <v>85</v>
      </c>
      <c r="B5" s="84">
        <v>2</v>
      </c>
      <c r="C5" s="85">
        <f ca="1">IF(LEN(JD_INPUT!$B$12)&lt;5,0,MIN(2,SUMPRODUCT(--ISNUMBER(SEARCH(TRIM(MID(SUBSTITUTE(KEYWORDS!$B$19,"|",REPT(" ",200)),(ROW(INDIRECT("1:"&amp;KEYWORDS!$C$19))-1)*200+1,200)),JD_INPUT!$B$12)))))</f>
        <v>0</v>
      </c>
      <c r="D5" s="86">
        <f t="shared" ca="1" si="0"/>
        <v>0</v>
      </c>
      <c r="E5" s="87" t="str">
        <f t="shared" ca="1" si="1"/>
        <v>No keyword match</v>
      </c>
      <c r="G5">
        <f t="shared" ca="1" si="2"/>
        <v>2</v>
      </c>
      <c r="H5" s="88" t="str">
        <f t="shared" ca="1" si="3"/>
        <v>░░░░░░░░░░░░░░░░░░░░</v>
      </c>
    </row>
    <row r="6" spans="1:8" ht="19.5" customHeight="1" x14ac:dyDescent="0.25">
      <c r="A6" s="83" t="s">
        <v>87</v>
      </c>
      <c r="B6" s="84">
        <v>2</v>
      </c>
      <c r="C6" s="85">
        <f ca="1">IF(LEN(JD_INPUT!$B$12)&lt;5,0,MIN(2,SUMPRODUCT(--ISNUMBER(SEARCH(TRIM(MID(SUBSTITUTE(KEYWORDS!$B$20,"|",REPT(" ",200)),(ROW(INDIRECT("1:"&amp;KEYWORDS!$C$20))-1)*200+1,200)),JD_INPUT!$B$12)))))</f>
        <v>1</v>
      </c>
      <c r="D6" s="86">
        <f t="shared" ca="1" si="0"/>
        <v>2</v>
      </c>
      <c r="E6" s="87" t="str">
        <f t="shared" ca="1" si="1"/>
        <v>1 variant matched</v>
      </c>
      <c r="G6" t="str">
        <f t="shared" ca="1" si="2"/>
        <v/>
      </c>
      <c r="H6" s="88" t="str">
        <f t="shared" ca="1" si="3"/>
        <v>██████████░░░░░░░░░░</v>
      </c>
    </row>
    <row r="7" spans="1:8" ht="19.5" customHeight="1" x14ac:dyDescent="0.25">
      <c r="A7" s="83" t="s">
        <v>125</v>
      </c>
      <c r="B7" s="84">
        <v>2</v>
      </c>
      <c r="C7" s="85">
        <f ca="1">IF(LEN(JD_INPUT!$B$12)&lt;5,0,MIN(2,SUMPRODUCT(--ISNUMBER(SEARCH(TRIM(MID(SUBSTITUTE(KEYWORDS!$B$21,"|",REPT(" ",200)),(ROW(INDIRECT("1:"&amp;KEYWORDS!$C$21))-1)*200+1,200)),JD_INPUT!$B$12)))))</f>
        <v>1</v>
      </c>
      <c r="D7" s="89">
        <f t="shared" ca="1" si="0"/>
        <v>2</v>
      </c>
      <c r="E7" s="87" t="str">
        <f t="shared" ca="1" si="1"/>
        <v>1 variant matched</v>
      </c>
      <c r="G7" t="str">
        <f t="shared" ca="1" si="2"/>
        <v/>
      </c>
      <c r="H7" s="90" t="str">
        <f t="shared" ca="1" si="3"/>
        <v>██████████░░░░░░░░░░</v>
      </c>
    </row>
    <row r="8" spans="1:8" ht="19.5" customHeight="1" x14ac:dyDescent="0.25">
      <c r="A8" s="83" t="s">
        <v>143</v>
      </c>
      <c r="B8" s="84">
        <v>2</v>
      </c>
      <c r="C8" s="85">
        <f ca="1">IF(LEN(JD_INPUT!$B$12)&lt;5,0,MIN(2,SUMPRODUCT(--ISNUMBER(SEARCH(TRIM(MID(SUBSTITUTE(KEYWORDS!$B$22,"|",REPT(" ",200)),(ROW(INDIRECT("1:"&amp;KEYWORDS!$C$22))-1)*200+1,200)),JD_INPUT!$B$12)))))</f>
        <v>1</v>
      </c>
      <c r="D8" s="89">
        <f t="shared" ca="1" si="0"/>
        <v>2</v>
      </c>
      <c r="E8" s="87" t="str">
        <f t="shared" ca="1" si="1"/>
        <v>1 variant matched</v>
      </c>
      <c r="G8" t="str">
        <f t="shared" ca="1" si="2"/>
        <v/>
      </c>
      <c r="H8" s="90" t="str">
        <f t="shared" ca="1" si="3"/>
        <v>██████████░░░░░░░░░░</v>
      </c>
    </row>
    <row r="9" spans="1:8" ht="19.5" customHeight="1" x14ac:dyDescent="0.25">
      <c r="A9" s="83" t="s">
        <v>144</v>
      </c>
      <c r="B9" s="84">
        <v>2</v>
      </c>
      <c r="C9" s="85">
        <f ca="1">IF(LEN(JD_INPUT!$B$12)&lt;5,0,MIN(2,SUMPRODUCT(--ISNUMBER(SEARCH(TRIM(MID(SUBSTITUTE(KEYWORDS!$B$23,"|",REPT(" ",200)),(ROW(INDIRECT("1:"&amp;KEYWORDS!$C$23))-1)*200+1,200)),JD_INPUT!$B$12)))))</f>
        <v>0</v>
      </c>
      <c r="D9" s="91">
        <f t="shared" ca="1" si="0"/>
        <v>0</v>
      </c>
      <c r="E9" s="87" t="str">
        <f t="shared" ca="1" si="1"/>
        <v>No keyword match</v>
      </c>
      <c r="G9">
        <f t="shared" ca="1" si="2"/>
        <v>3</v>
      </c>
      <c r="H9" s="92" t="str">
        <f t="shared" ca="1" si="3"/>
        <v>░░░░░░░░░░░░░░░░░░░░</v>
      </c>
    </row>
    <row r="10" spans="1:8" ht="19.5" customHeight="1" x14ac:dyDescent="0.25">
      <c r="A10" s="83" t="s">
        <v>145</v>
      </c>
      <c r="B10" s="84">
        <v>2</v>
      </c>
      <c r="C10" s="85">
        <f ca="1">IF(LEN(JD_INPUT!$B$12)&lt;5,0,MIN(2,SUMPRODUCT(--ISNUMBER(SEARCH(TRIM(MID(SUBSTITUTE(KEYWORDS!$B$24,"|",REPT(" ",200)),(ROW(INDIRECT("1:"&amp;KEYWORDS!$C$24))-1)*200+1,200)),JD_INPUT!$B$12)))))</f>
        <v>1</v>
      </c>
      <c r="D10" s="91">
        <f t="shared" ca="1" si="0"/>
        <v>2</v>
      </c>
      <c r="E10" s="87" t="str">
        <f t="shared" ca="1" si="1"/>
        <v>1 variant matched</v>
      </c>
      <c r="G10" t="str">
        <f t="shared" ca="1" si="2"/>
        <v/>
      </c>
      <c r="H10" s="92" t="str">
        <f t="shared" ca="1" si="3"/>
        <v>██████████░░░░░░░░░░</v>
      </c>
    </row>
    <row r="11" spans="1:8" ht="19.5" customHeight="1" x14ac:dyDescent="0.25">
      <c r="A11" s="83" t="s">
        <v>89</v>
      </c>
      <c r="B11" s="84">
        <v>2</v>
      </c>
      <c r="C11" s="85">
        <f ca="1">IF(LEN(JD_INPUT!$B$12)&lt;5,0,MIN(2,SUMPRODUCT(--ISNUMBER(SEARCH(TRIM(MID(SUBSTITUTE(KEYWORDS!$B$25,"|",REPT(" ",200)),(ROW(INDIRECT("1:"&amp;KEYWORDS!$C$25))-1)*200+1,200)),JD_INPUT!$B$12)))))</f>
        <v>0</v>
      </c>
      <c r="D11" s="86">
        <f t="shared" ca="1" si="0"/>
        <v>0</v>
      </c>
      <c r="E11" s="87" t="str">
        <f t="shared" ca="1" si="1"/>
        <v>No keyword match</v>
      </c>
      <c r="G11">
        <f t="shared" ca="1" si="2"/>
        <v>4</v>
      </c>
      <c r="H11" s="88" t="str">
        <f t="shared" ca="1" si="3"/>
        <v>░░░░░░░░░░░░░░░░░░░░</v>
      </c>
    </row>
    <row r="12" spans="1:8" ht="19.5" customHeight="1" x14ac:dyDescent="0.25">
      <c r="A12" s="83" t="s">
        <v>146</v>
      </c>
      <c r="B12" s="84">
        <v>2</v>
      </c>
      <c r="C12" s="85">
        <f ca="1">IF(LEN(JD_INPUT!$B$12)&lt;5,0,MIN(2,SUMPRODUCT(--ISNUMBER(SEARCH(TRIM(MID(SUBSTITUTE(KEYWORDS!$B$26,"|",REPT(" ",200)),(ROW(INDIRECT("1:"&amp;KEYWORDS!$C$26))-1)*200+1,200)),JD_INPUT!$B$12)))))</f>
        <v>0</v>
      </c>
      <c r="D12" s="91">
        <f t="shared" ca="1" si="0"/>
        <v>0</v>
      </c>
      <c r="E12" s="87" t="str">
        <f t="shared" ca="1" si="1"/>
        <v>No keyword match</v>
      </c>
      <c r="G12">
        <f t="shared" ca="1" si="2"/>
        <v>5</v>
      </c>
      <c r="H12" s="92" t="str">
        <f t="shared" ca="1" si="3"/>
        <v>░░░░░░░░░░░░░░░░░░░░</v>
      </c>
    </row>
    <row r="13" spans="1:8" ht="19.5" customHeight="1" x14ac:dyDescent="0.25">
      <c r="A13" s="83" t="s">
        <v>91</v>
      </c>
      <c r="B13" s="84">
        <v>2</v>
      </c>
      <c r="C13" s="85">
        <f ca="1">IF(LEN(JD_INPUT!$B$12)&lt;5,0,MIN(2,SUMPRODUCT(--ISNUMBER(SEARCH(TRIM(MID(SUBSTITUTE(KEYWORDS!$B$27,"|",REPT(" ",200)),(ROW(INDIRECT("1:"&amp;KEYWORDS!$C$27))-1)*200+1,200)),JD_INPUT!$B$12)))))</f>
        <v>1</v>
      </c>
      <c r="D13" s="86">
        <f t="shared" ca="1" si="0"/>
        <v>2</v>
      </c>
      <c r="E13" s="87" t="str">
        <f t="shared" ca="1" si="1"/>
        <v>1 variant matched</v>
      </c>
      <c r="G13" t="str">
        <f t="shared" ca="1" si="2"/>
        <v/>
      </c>
      <c r="H13" s="88" t="str">
        <f t="shared" ca="1" si="3"/>
        <v>██████████░░░░░░░░░░</v>
      </c>
    </row>
    <row r="14" spans="1:8" ht="19.5" customHeight="1" x14ac:dyDescent="0.25">
      <c r="A14" s="83" t="s">
        <v>147</v>
      </c>
      <c r="B14" s="84">
        <v>2</v>
      </c>
      <c r="C14" s="85">
        <f ca="1">IF(LEN(JD_INPUT!$B$12)&lt;5,0,MIN(2,SUMPRODUCT(--ISNUMBER(SEARCH(TRIM(MID(SUBSTITUTE(KEYWORDS!$B$28,"|",REPT(" ",200)),(ROW(INDIRECT("1:"&amp;KEYWORDS!$C$28))-1)*200+1,200)),JD_INPUT!$B$12)))))</f>
        <v>2</v>
      </c>
      <c r="D14" s="91">
        <f t="shared" ca="1" si="0"/>
        <v>4</v>
      </c>
      <c r="E14" s="87" t="str">
        <f t="shared" ca="1" si="1"/>
        <v>2+ variants matched</v>
      </c>
      <c r="G14" t="str">
        <f t="shared" ca="1" si="2"/>
        <v/>
      </c>
      <c r="H14" s="92" t="str">
        <f t="shared" ca="1" si="3"/>
        <v>████████████████████</v>
      </c>
    </row>
    <row r="15" spans="1:8" ht="19.5" customHeight="1" x14ac:dyDescent="0.25">
      <c r="A15" s="83" t="s">
        <v>122</v>
      </c>
      <c r="B15" s="84">
        <v>2</v>
      </c>
      <c r="C15" s="85">
        <f ca="1">IF(LEN(JD_INPUT!$B$12)&lt;5,0,MIN(2,SUMPRODUCT(--ISNUMBER(SEARCH(TRIM(MID(SUBSTITUTE(KEYWORDS!$B$29,"|",REPT(" ",200)),(ROW(INDIRECT("1:"&amp;KEYWORDS!$C$29))-1)*200+1,200)),JD_INPUT!$B$12)))))</f>
        <v>0</v>
      </c>
      <c r="D15" s="86">
        <f t="shared" ca="1" si="0"/>
        <v>0</v>
      </c>
      <c r="E15" s="87" t="str">
        <f t="shared" ca="1" si="1"/>
        <v>No keyword match</v>
      </c>
      <c r="G15">
        <f t="shared" ca="1" si="2"/>
        <v>6</v>
      </c>
      <c r="H15" s="88" t="str">
        <f t="shared" ca="1" si="3"/>
        <v>░░░░░░░░░░░░░░░░░░░░</v>
      </c>
    </row>
    <row r="16" spans="1:8" ht="19.5" customHeight="1" x14ac:dyDescent="0.25">
      <c r="A16" s="83" t="s">
        <v>148</v>
      </c>
      <c r="B16" s="84">
        <v>2</v>
      </c>
      <c r="C16" s="85">
        <f ca="1">IF(LEN(JD_INPUT!$B$12)&lt;5,0,MIN(2,SUMPRODUCT(--ISNUMBER(SEARCH(TRIM(MID(SUBSTITUTE(KEYWORDS!$B$30,"|",REPT(" ",200)),(ROW(INDIRECT("1:"&amp;KEYWORDS!$C$30))-1)*200+1,200)),JD_INPUT!$B$12)))))</f>
        <v>0</v>
      </c>
      <c r="D16" s="86">
        <f t="shared" ca="1" si="0"/>
        <v>0</v>
      </c>
      <c r="E16" s="87" t="str">
        <f t="shared" ca="1" si="1"/>
        <v>No keyword match</v>
      </c>
      <c r="G16">
        <f t="shared" ca="1" si="2"/>
        <v>7</v>
      </c>
      <c r="H16" s="88" t="str">
        <f t="shared" ca="1" si="3"/>
        <v>░░░░░░░░░░░░░░░░░░░░</v>
      </c>
    </row>
    <row r="17" spans="1:8" ht="19.5" customHeight="1" x14ac:dyDescent="0.25">
      <c r="A17" s="83" t="s">
        <v>149</v>
      </c>
      <c r="B17" s="84">
        <v>2</v>
      </c>
      <c r="C17" s="85">
        <f ca="1">IF(LEN(JD_INPUT!$B$12)&lt;5,0,MIN(2,SUMPRODUCT(--ISNUMBER(SEARCH(TRIM(MID(SUBSTITUTE(KEYWORDS!$B$31,"|",REPT(" ",200)),(ROW(INDIRECT("1:"&amp;KEYWORDS!$C$31))-1)*200+1,200)),JD_INPUT!$B$12)))))</f>
        <v>1</v>
      </c>
      <c r="D17" s="91">
        <f t="shared" ca="1" si="0"/>
        <v>2</v>
      </c>
      <c r="E17" s="87" t="str">
        <f t="shared" ca="1" si="1"/>
        <v>1 variant matched</v>
      </c>
      <c r="G17" t="str">
        <f t="shared" ca="1" si="2"/>
        <v/>
      </c>
      <c r="H17" s="92" t="str">
        <f t="shared" ca="1" si="3"/>
        <v>██████████░░░░░░░░░░</v>
      </c>
    </row>
    <row r="18" spans="1:8" ht="19.5" customHeight="1" x14ac:dyDescent="0.25">
      <c r="A18" s="83" t="s">
        <v>150</v>
      </c>
      <c r="B18" s="84">
        <v>2</v>
      </c>
      <c r="C18" s="85">
        <f ca="1">IF(LEN(JD_INPUT!$B$12)&lt;5,0,MIN(2,SUMPRODUCT(--ISNUMBER(SEARCH(TRIM(MID(SUBSTITUTE(KEYWORDS!$B$32,"|",REPT(" ",200)),(ROW(INDIRECT("1:"&amp;KEYWORDS!$C$32))-1)*200+1,200)),JD_INPUT!$B$12)))))</f>
        <v>0</v>
      </c>
      <c r="D18" s="86">
        <f t="shared" ca="1" si="0"/>
        <v>0</v>
      </c>
      <c r="E18" s="87" t="str">
        <f t="shared" ca="1" si="1"/>
        <v>No keyword match</v>
      </c>
      <c r="G18">
        <f t="shared" ca="1" si="2"/>
        <v>8</v>
      </c>
      <c r="H18" s="88" t="str">
        <f t="shared" ca="1" si="3"/>
        <v>░░░░░░░░░░░░░░░░░░░░</v>
      </c>
    </row>
    <row r="19" spans="1:8" ht="24" customHeight="1" x14ac:dyDescent="0.25">
      <c r="A19" s="194" t="s">
        <v>126</v>
      </c>
      <c r="B19" s="165"/>
      <c r="C19" s="165"/>
      <c r="D19" s="93">
        <f ca="1">SUM(D4:D18)</f>
        <v>16</v>
      </c>
      <c r="E19" s="94"/>
      <c r="H19" s="95" t="str">
        <f ca="1">IF(D19=0,"⏳ Waiting for JD",REPT("█",MIN(30,D19))&amp;"  ("&amp;D19&amp;"/30)")</f>
        <v>████████████████  (16/30)</v>
      </c>
    </row>
    <row r="20" spans="1:8" ht="21" customHeight="1" x14ac:dyDescent="0.25">
      <c r="H20" s="96" t="s">
        <v>127</v>
      </c>
    </row>
    <row r="21" spans="1:8" ht="18.75" customHeight="1" x14ac:dyDescent="0.25">
      <c r="A21" s="195" t="s">
        <v>128</v>
      </c>
      <c r="B21" s="165"/>
      <c r="C21" s="165"/>
      <c r="D21" s="165"/>
      <c r="E21" s="165"/>
    </row>
    <row r="22" spans="1:8" ht="15" customHeight="1" x14ac:dyDescent="0.25">
      <c r="A22" s="196" t="s">
        <v>129</v>
      </c>
      <c r="B22" s="165"/>
      <c r="C22" s="165"/>
      <c r="D22" s="85">
        <f>MIN(5,IF(ISNUMBER(SEARCH("program",JD_INPUT!$B$12)),1,0)+IF(ISNUMBER(SEARCH("roadmap",JD_INPUT!$B$12)),1,0)+IF(ISNUMBER(SEARCH("delivery",JD_INPUT!$B$12)),1,0)+IF(ISNUMBER(SEARCH("stakeholders",JD_INPUT!$B$12)),1,0)+IF(ISNUMBER(SEARCH("release",JD_INPUT!$B$12)),1,0))</f>
        <v>3</v>
      </c>
      <c r="E22" s="8" t="s">
        <v>151</v>
      </c>
    </row>
    <row r="23" spans="1:8" ht="15" customHeight="1" x14ac:dyDescent="0.25">
      <c r="A23" s="196" t="s">
        <v>131</v>
      </c>
      <c r="B23" s="165"/>
      <c r="C23" s="165"/>
      <c r="D23" s="85">
        <f>MIN(5,IF(ISNUMBER(SEARCH("product",JD_INPUT!$B$12)),1,0)+IF(ISNUMBER(SEARCH("platform",JD_INPUT!$B$12)),1,0)+IF(ISNUMBER(SEARCH("engineering",JD_INPUT!$B$12)),1,0)+IF(ISNUMBER(SEARCH("enterprise",JD_INPUT!$B$12)),1,0)+IF(ISNUMBER(SEARCH("gcc",JD_INPUT!$B$12)),1,0))</f>
        <v>3</v>
      </c>
      <c r="E23" s="8" t="s">
        <v>152</v>
      </c>
    </row>
    <row r="24" spans="1:8" ht="15" customHeight="1" x14ac:dyDescent="0.25">
      <c r="A24" s="196" t="s">
        <v>133</v>
      </c>
      <c r="B24" s="165"/>
      <c r="C24" s="165"/>
      <c r="D24" s="97">
        <f>MIN(5,IF(ISNUMBER(SEARCH("helpdesk",JD_INPUT!$B$12)),1,0)+IF(ISNUMBER(SEARCH("l1 support",JD_INPUT!$B$12)),1,0)+IF(ISNUMBER(SEARCH("call center",JD_INPUT!$B$12)),1,0)+IF(ISNUMBER(SEARCH("desktop support",JD_INPUT!$B$12)),1,0)+IF(ISNUMBER(SEARCH("field support",JD_INPUT!$B$12)),1,0))</f>
        <v>0</v>
      </c>
      <c r="E24" s="8" t="s">
        <v>153</v>
      </c>
    </row>
    <row r="26" spans="1:8" ht="15" customHeight="1" x14ac:dyDescent="0.25">
      <c r="A26" s="197" t="s">
        <v>135</v>
      </c>
      <c r="B26" s="165"/>
      <c r="C26" s="165"/>
      <c r="D26" s="98">
        <f ca="1">D19+D22+D23-D24</f>
        <v>22</v>
      </c>
      <c r="E26" s="99"/>
    </row>
    <row r="28" spans="1:8" ht="18.75" customHeight="1" x14ac:dyDescent="0.25">
      <c r="A28" s="198" t="s">
        <v>136</v>
      </c>
      <c r="B28" s="165"/>
      <c r="C28" s="165"/>
      <c r="D28" s="165"/>
      <c r="E28" s="165"/>
    </row>
    <row r="29" spans="1:8" ht="16.5" customHeight="1" x14ac:dyDescent="0.25">
      <c r="A29" s="199"/>
      <c r="B29" s="165"/>
      <c r="C29" s="165"/>
      <c r="D29" s="165"/>
      <c r="E29" s="165"/>
    </row>
    <row r="30" spans="1:8" ht="24" customHeight="1" x14ac:dyDescent="0.25">
      <c r="A30" s="200" t="s">
        <v>137</v>
      </c>
      <c r="B30" s="165"/>
      <c r="C30" s="165"/>
      <c r="D30" s="165"/>
      <c r="E30" s="165"/>
    </row>
    <row r="31" spans="1:8" ht="19.5" customHeight="1" x14ac:dyDescent="0.25">
      <c r="A31" s="201" t="s">
        <v>138</v>
      </c>
      <c r="B31" s="201" t="s">
        <v>139</v>
      </c>
      <c r="C31" s="201" t="s">
        <v>107</v>
      </c>
      <c r="D31" s="201" t="s">
        <v>140</v>
      </c>
      <c r="E31" s="201" t="s">
        <v>141</v>
      </c>
    </row>
    <row r="32" spans="1:8" ht="22.5" customHeight="1" x14ac:dyDescent="0.25">
      <c r="A32" s="202">
        <v>1</v>
      </c>
      <c r="B32" s="203" t="str">
        <f ca="1">IFERROR(INDEX($A$4:$A$18,MATCH(1,$G$4:$G$18,0)),"All matched")</f>
        <v>Technical program management</v>
      </c>
      <c r="C32" s="204">
        <f t="shared" ref="C32:C36" ca="1" si="4">IFERROR(VLOOKUP(B32,$A$4:$B$18,2,FALSE),"-")</f>
        <v>2</v>
      </c>
      <c r="D32" s="205" t="str">
        <f t="shared" ref="D32:D36" ca="1" si="5">IF(ISNUMBER(C32),"+"&amp;(C32*2)&amp;" pts","-")</f>
        <v>+4 pts</v>
      </c>
      <c r="E32" s="206" t="str">
        <f t="shared" ref="E32:E36" ca="1" si="6">"Add a bullet mentioning: "&amp;B32</f>
        <v>Add a bullet mentioning: Technical program management</v>
      </c>
    </row>
    <row r="33" spans="1:5" ht="22.5" customHeight="1" x14ac:dyDescent="0.25">
      <c r="A33" s="202">
        <v>2</v>
      </c>
      <c r="B33" s="203" t="str">
        <f ca="1">IFERROR(INDEX($A$4:$A$18,MATCH(2,$G$4:$G$18,0)),"All matched")</f>
        <v>Program delivery</v>
      </c>
      <c r="C33" s="204">
        <f t="shared" ca="1" si="4"/>
        <v>2</v>
      </c>
      <c r="D33" s="205" t="str">
        <f t="shared" ca="1" si="5"/>
        <v>+4 pts</v>
      </c>
      <c r="E33" s="206" t="str">
        <f t="shared" ca="1" si="6"/>
        <v>Add a bullet mentioning: Program delivery</v>
      </c>
    </row>
    <row r="34" spans="1:5" ht="22.5" customHeight="1" x14ac:dyDescent="0.25">
      <c r="A34" s="100">
        <v>3</v>
      </c>
      <c r="B34" s="101" t="str">
        <f ca="1">IFERROR(INDEX($A$4:$A$18,MATCH(3,$G$4:$G$18,0)),"All matched")</f>
        <v>Risk management</v>
      </c>
      <c r="C34" s="102">
        <f t="shared" ca="1" si="4"/>
        <v>2</v>
      </c>
      <c r="D34" s="103" t="str">
        <f t="shared" ca="1" si="5"/>
        <v>+4 pts</v>
      </c>
      <c r="E34" s="104" t="str">
        <f t="shared" ca="1" si="6"/>
        <v>Add a bullet mentioning: Risk management</v>
      </c>
    </row>
    <row r="35" spans="1:5" ht="22.5" customHeight="1" x14ac:dyDescent="0.25">
      <c r="A35" s="100">
        <v>4</v>
      </c>
      <c r="B35" s="101" t="str">
        <f ca="1">IFERROR(INDEX($A$4:$A$18,MATCH(4,$G$4:$G$18,0)),"All matched")</f>
        <v>Change management</v>
      </c>
      <c r="C35" s="102">
        <f t="shared" ca="1" si="4"/>
        <v>2</v>
      </c>
      <c r="D35" s="103" t="str">
        <f t="shared" ca="1" si="5"/>
        <v>+4 pts</v>
      </c>
      <c r="E35" s="104" t="str">
        <f t="shared" ca="1" si="6"/>
        <v>Add a bullet mentioning: Change management</v>
      </c>
    </row>
    <row r="36" spans="1:5" ht="22.5" customHeight="1" x14ac:dyDescent="0.25">
      <c r="A36" s="100">
        <v>5</v>
      </c>
      <c r="B36" s="101" t="str">
        <f ca="1">IFERROR(INDEX($A$4:$A$18,MATCH(5,$G$4:$G$18,0)),"All matched")</f>
        <v>Release management</v>
      </c>
      <c r="C36" s="102">
        <f t="shared" ca="1" si="4"/>
        <v>2</v>
      </c>
      <c r="D36" s="103" t="str">
        <f t="shared" ca="1" si="5"/>
        <v>+4 pts</v>
      </c>
      <c r="E36" s="104" t="str">
        <f t="shared" ca="1" si="6"/>
        <v>Add a bullet mentioning: Release management</v>
      </c>
    </row>
  </sheetData>
  <mergeCells count="9">
    <mergeCell ref="A24:C24"/>
    <mergeCell ref="A26:C26"/>
    <mergeCell ref="A28:E28"/>
    <mergeCell ref="A29:E33"/>
    <mergeCell ref="A1:E1"/>
    <mergeCell ref="A19:C19"/>
    <mergeCell ref="A21:E21"/>
    <mergeCell ref="A22:C22"/>
    <mergeCell ref="A23:C23"/>
  </mergeCells>
  <pageMargins left="0.7" right="0.7" top="0.75" bottom="0.75" header="0.3" footer="0.3"/>
  <pageSetup orientation="portrait"/>
  <headerFooter>
    <oddHeader>&amp;L&amp;C&amp;R</oddHeader>
    <oddFooter>&amp;L&amp;C&amp;R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3DB28-6138-76E7-711E-4D7A8604B338}">
  <dimension ref="A1:H36"/>
  <sheetViews>
    <sheetView workbookViewId="0">
      <pane ySplit="3" topLeftCell="A13" activePane="bottomLeft" state="frozen"/>
      <selection pane="bottomLeft" activeCell="H29" sqref="H29"/>
    </sheetView>
  </sheetViews>
  <sheetFormatPr defaultColWidth="8.85546875" defaultRowHeight="15" customHeight="1" x14ac:dyDescent="0.25"/>
  <cols>
    <col min="1" max="1" width="40" customWidth="1"/>
    <col min="2" max="2" width="11.42578125" customWidth="1"/>
    <col min="3" max="3" width="14.28515625" customWidth="1"/>
    <col min="4" max="4" width="17.140625" customWidth="1"/>
    <col min="5" max="5" width="57.140625" customWidth="1"/>
    <col min="8" max="8" width="37.140625" customWidth="1"/>
  </cols>
  <sheetData>
    <row r="1" spans="1:8" ht="22.5" customHeight="1" x14ac:dyDescent="0.25">
      <c r="A1" s="177" t="s">
        <v>154</v>
      </c>
      <c r="B1" s="165"/>
      <c r="C1" s="165"/>
      <c r="D1" s="165"/>
      <c r="E1" s="165"/>
    </row>
    <row r="3" spans="1:8" ht="19.5" customHeight="1" x14ac:dyDescent="0.25">
      <c r="A3" s="81" t="s">
        <v>106</v>
      </c>
      <c r="B3" s="81" t="s">
        <v>107</v>
      </c>
      <c r="C3" s="81" t="s">
        <v>108</v>
      </c>
      <c r="D3" s="81" t="s">
        <v>109</v>
      </c>
      <c r="E3" s="81" t="s">
        <v>110</v>
      </c>
      <c r="H3" s="82" t="s">
        <v>111</v>
      </c>
    </row>
    <row r="4" spans="1:8" ht="19.5" customHeight="1" x14ac:dyDescent="0.25">
      <c r="A4" s="83" t="s">
        <v>155</v>
      </c>
      <c r="B4" s="84">
        <v>2</v>
      </c>
      <c r="C4" s="85">
        <f ca="1">IF(LEN(JD_INPUT!$B$12)&lt;5,0,MIN(2,SUMPRODUCT(--ISNUMBER(SEARCH(TRIM(MID(SUBSTITUTE(KEYWORDS!$B$33,"|",REPT(" ",200)),(ROW(INDIRECT("1:"&amp;KEYWORDS!$C$33))-1)*200+1,200)),JD_INPUT!$B$12)))))</f>
        <v>0</v>
      </c>
      <c r="D4" s="86">
        <f t="shared" ref="D4:D18" ca="1" si="0">B4*C4</f>
        <v>0</v>
      </c>
      <c r="E4" s="87" t="str">
        <f t="shared" ref="E4:E18" ca="1" si="1">IF(C4=0,"No keyword match",IF(C4=1,"1 variant matched","2+ variants matched"))</f>
        <v>No keyword match</v>
      </c>
      <c r="G4">
        <f t="shared" ref="G4:G18" ca="1" si="2">IF(C4=0,COUNTIF($C$4:C4,0),"")</f>
        <v>1</v>
      </c>
      <c r="H4" s="88" t="str">
        <f t="shared" ref="H4:H18" ca="1" si="3">IF(D4=0,REPT("░",20),REPT("█",MIN(20,D4*5))&amp;REPT("░",MAX(0,20-MIN(20,D4*5))))</f>
        <v>░░░░░░░░░░░░░░░░░░░░</v>
      </c>
    </row>
    <row r="5" spans="1:8" ht="19.5" customHeight="1" x14ac:dyDescent="0.25">
      <c r="A5" s="83" t="s">
        <v>156</v>
      </c>
      <c r="B5" s="84">
        <v>2</v>
      </c>
      <c r="C5" s="85">
        <f ca="1">IF(LEN(JD_INPUT!$B$12)&lt;5,0,MIN(2,SUMPRODUCT(--ISNUMBER(SEARCH(TRIM(MID(SUBSTITUTE(KEYWORDS!$B$34,"|",REPT(" ",200)),(ROW(INDIRECT("1:"&amp;KEYWORDS!$C$34))-1)*200+1,200)),JD_INPUT!$B$12)))))</f>
        <v>0</v>
      </c>
      <c r="D5" s="86">
        <f t="shared" ca="1" si="0"/>
        <v>0</v>
      </c>
      <c r="E5" s="87" t="str">
        <f t="shared" ca="1" si="1"/>
        <v>No keyword match</v>
      </c>
      <c r="G5">
        <f t="shared" ca="1" si="2"/>
        <v>2</v>
      </c>
      <c r="H5" s="88" t="str">
        <f t="shared" ca="1" si="3"/>
        <v>░░░░░░░░░░░░░░░░░░░░</v>
      </c>
    </row>
    <row r="6" spans="1:8" ht="19.5" customHeight="1" x14ac:dyDescent="0.25">
      <c r="A6" s="83" t="s">
        <v>157</v>
      </c>
      <c r="B6" s="84">
        <v>2</v>
      </c>
      <c r="C6" s="85">
        <f ca="1">IF(LEN(JD_INPUT!$B$12)&lt;5,0,MIN(2,SUMPRODUCT(--ISNUMBER(SEARCH(TRIM(MID(SUBSTITUTE(KEYWORDS!$B$35,"|",REPT(" ",200)),(ROW(INDIRECT("1:"&amp;KEYWORDS!$C$35))-1)*200+1,200)),JD_INPUT!$B$12)))))</f>
        <v>1</v>
      </c>
      <c r="D6" s="86">
        <f t="shared" ca="1" si="0"/>
        <v>2</v>
      </c>
      <c r="E6" s="87" t="str">
        <f t="shared" ca="1" si="1"/>
        <v>1 variant matched</v>
      </c>
      <c r="G6" t="str">
        <f t="shared" ca="1" si="2"/>
        <v/>
      </c>
      <c r="H6" s="88" t="str">
        <f t="shared" ca="1" si="3"/>
        <v>██████████░░░░░░░░░░</v>
      </c>
    </row>
    <row r="7" spans="1:8" ht="19.5" customHeight="1" x14ac:dyDescent="0.25">
      <c r="A7" s="83" t="s">
        <v>158</v>
      </c>
      <c r="B7" s="84">
        <v>2</v>
      </c>
      <c r="C7" s="85">
        <f ca="1">IF(LEN(JD_INPUT!$B$12)&lt;5,0,MIN(2,SUMPRODUCT(--ISNUMBER(SEARCH(TRIM(MID(SUBSTITUTE(KEYWORDS!$B$36,"|",REPT(" ",200)),(ROW(INDIRECT("1:"&amp;KEYWORDS!$C$36))-1)*200+1,200)),JD_INPUT!$B$12)))))</f>
        <v>0</v>
      </c>
      <c r="D7" s="86">
        <f t="shared" ca="1" si="0"/>
        <v>0</v>
      </c>
      <c r="E7" s="87" t="str">
        <f t="shared" ca="1" si="1"/>
        <v>No keyword match</v>
      </c>
      <c r="G7">
        <f t="shared" ca="1" si="2"/>
        <v>3</v>
      </c>
      <c r="H7" s="88" t="str">
        <f t="shared" ca="1" si="3"/>
        <v>░░░░░░░░░░░░░░░░░░░░</v>
      </c>
    </row>
    <row r="8" spans="1:8" ht="19.5" customHeight="1" x14ac:dyDescent="0.25">
      <c r="A8" s="83" t="s">
        <v>159</v>
      </c>
      <c r="B8" s="84">
        <v>2</v>
      </c>
      <c r="C8" s="85">
        <f ca="1">IF(LEN(JD_INPUT!$B$12)&lt;5,0,MIN(2,SUMPRODUCT(--ISNUMBER(SEARCH(TRIM(MID(SUBSTITUTE(KEYWORDS!$B$37,"|",REPT(" ",200)),(ROW(INDIRECT("1:"&amp;KEYWORDS!$C$37))-1)*200+1,200)),JD_INPUT!$B$12)))))</f>
        <v>0</v>
      </c>
      <c r="D8" s="86">
        <f t="shared" ca="1" si="0"/>
        <v>0</v>
      </c>
      <c r="E8" s="87" t="str">
        <f t="shared" ca="1" si="1"/>
        <v>No keyword match</v>
      </c>
      <c r="G8">
        <f t="shared" ca="1" si="2"/>
        <v>4</v>
      </c>
      <c r="H8" s="88" t="str">
        <f t="shared" ca="1" si="3"/>
        <v>░░░░░░░░░░░░░░░░░░░░</v>
      </c>
    </row>
    <row r="9" spans="1:8" ht="19.5" customHeight="1" x14ac:dyDescent="0.25">
      <c r="A9" s="83" t="s">
        <v>89</v>
      </c>
      <c r="B9" s="84">
        <v>2</v>
      </c>
      <c r="C9" s="85">
        <f ca="1">IF(LEN(JD_INPUT!$B$12)&lt;5,0,MIN(2,SUMPRODUCT(--ISNUMBER(SEARCH(TRIM(MID(SUBSTITUTE(KEYWORDS!$B$38,"|",REPT(" ",200)),(ROW(INDIRECT("1:"&amp;KEYWORDS!$C$38))-1)*200+1,200)),JD_INPUT!$B$12)))))</f>
        <v>0</v>
      </c>
      <c r="D9" s="86">
        <f t="shared" ca="1" si="0"/>
        <v>0</v>
      </c>
      <c r="E9" s="87" t="str">
        <f t="shared" ca="1" si="1"/>
        <v>No keyword match</v>
      </c>
      <c r="G9">
        <f t="shared" ca="1" si="2"/>
        <v>5</v>
      </c>
      <c r="H9" s="88" t="str">
        <f t="shared" ca="1" si="3"/>
        <v>░░░░░░░░░░░░░░░░░░░░</v>
      </c>
    </row>
    <row r="10" spans="1:8" ht="19.5" customHeight="1" x14ac:dyDescent="0.25">
      <c r="A10" s="83" t="s">
        <v>146</v>
      </c>
      <c r="B10" s="84">
        <v>2</v>
      </c>
      <c r="C10" s="85">
        <f ca="1">IF(LEN(JD_INPUT!$B$12)&lt;5,0,MIN(2,SUMPRODUCT(--ISNUMBER(SEARCH(TRIM(MID(SUBSTITUTE(KEYWORDS!$B$39,"|",REPT(" ",200)),(ROW(INDIRECT("1:"&amp;KEYWORDS!$C$39))-1)*200+1,200)),JD_INPUT!$B$12)))))</f>
        <v>0</v>
      </c>
      <c r="D10" s="91">
        <f t="shared" ca="1" si="0"/>
        <v>0</v>
      </c>
      <c r="E10" s="87" t="str">
        <f t="shared" ca="1" si="1"/>
        <v>No keyword match</v>
      </c>
      <c r="G10">
        <f t="shared" ca="1" si="2"/>
        <v>6</v>
      </c>
      <c r="H10" s="92" t="str">
        <f t="shared" ca="1" si="3"/>
        <v>░░░░░░░░░░░░░░░░░░░░</v>
      </c>
    </row>
    <row r="11" spans="1:8" ht="19.5" customHeight="1" x14ac:dyDescent="0.25">
      <c r="A11" s="83" t="s">
        <v>160</v>
      </c>
      <c r="B11" s="84">
        <v>2</v>
      </c>
      <c r="C11" s="85">
        <f ca="1">IF(LEN(JD_INPUT!$B$12)&lt;5,0,MIN(2,SUMPRODUCT(--ISNUMBER(SEARCH(TRIM(MID(SUBSTITUTE(KEYWORDS!$B$40,"|",REPT(" ",200)),(ROW(INDIRECT("1:"&amp;KEYWORDS!$C$40))-1)*200+1,200)),JD_INPUT!$B$12)))))</f>
        <v>0</v>
      </c>
      <c r="D11" s="86">
        <f t="shared" ca="1" si="0"/>
        <v>0</v>
      </c>
      <c r="E11" s="87" t="str">
        <f t="shared" ca="1" si="1"/>
        <v>No keyword match</v>
      </c>
      <c r="G11">
        <f t="shared" ca="1" si="2"/>
        <v>7</v>
      </c>
      <c r="H11" s="88" t="str">
        <f t="shared" ca="1" si="3"/>
        <v>░░░░░░░░░░░░░░░░░░░░</v>
      </c>
    </row>
    <row r="12" spans="1:8" ht="19.5" customHeight="1" x14ac:dyDescent="0.25">
      <c r="A12" s="83" t="s">
        <v>161</v>
      </c>
      <c r="B12" s="84">
        <v>2</v>
      </c>
      <c r="C12" s="85">
        <f ca="1">IF(LEN(JD_INPUT!$B$12)&lt;5,0,MIN(2,SUMPRODUCT(--ISNUMBER(SEARCH(TRIM(MID(SUBSTITUTE(KEYWORDS!$B$41,"|",REPT(" ",200)),(ROW(INDIRECT("1:"&amp;KEYWORDS!$C$41))-1)*200+1,200)),JD_INPUT!$B$12)))))</f>
        <v>0</v>
      </c>
      <c r="D12" s="86">
        <f t="shared" ca="1" si="0"/>
        <v>0</v>
      </c>
      <c r="E12" s="87" t="str">
        <f t="shared" ca="1" si="1"/>
        <v>No keyword match</v>
      </c>
      <c r="G12">
        <f t="shared" ca="1" si="2"/>
        <v>8</v>
      </c>
      <c r="H12" s="88" t="str">
        <f t="shared" ca="1" si="3"/>
        <v>░░░░░░░░░░░░░░░░░░░░</v>
      </c>
    </row>
    <row r="13" spans="1:8" ht="19.5" customHeight="1" x14ac:dyDescent="0.25">
      <c r="A13" s="83" t="s">
        <v>162</v>
      </c>
      <c r="B13" s="84">
        <v>2</v>
      </c>
      <c r="C13" s="85">
        <f ca="1">IF(LEN(JD_INPUT!$B$12)&lt;5,0,MIN(2,SUMPRODUCT(--ISNUMBER(SEARCH(TRIM(MID(SUBSTITUTE(KEYWORDS!$B$42,"|",REPT(" ",200)),(ROW(INDIRECT("1:"&amp;KEYWORDS!$C$42))-1)*200+1,200)),JD_INPUT!$B$12)))))</f>
        <v>0</v>
      </c>
      <c r="D13" s="86">
        <f t="shared" ca="1" si="0"/>
        <v>0</v>
      </c>
      <c r="E13" s="87" t="str">
        <f t="shared" ca="1" si="1"/>
        <v>No keyword match</v>
      </c>
      <c r="G13">
        <f t="shared" ca="1" si="2"/>
        <v>9</v>
      </c>
      <c r="H13" s="88" t="str">
        <f t="shared" ca="1" si="3"/>
        <v>░░░░░░░░░░░░░░░░░░░░</v>
      </c>
    </row>
    <row r="14" spans="1:8" ht="19.5" customHeight="1" x14ac:dyDescent="0.25">
      <c r="A14" s="83" t="s">
        <v>163</v>
      </c>
      <c r="B14" s="84">
        <v>2</v>
      </c>
      <c r="C14" s="85">
        <f ca="1">IF(LEN(JD_INPUT!$B$12)&lt;5,0,MIN(2,SUMPRODUCT(--ISNUMBER(SEARCH(TRIM(MID(SUBSTITUTE(KEYWORDS!$B$43,"|",REPT(" ",200)),(ROW(INDIRECT("1:"&amp;KEYWORDS!$C$43))-1)*200+1,200)),JD_INPUT!$B$12)))))</f>
        <v>0</v>
      </c>
      <c r="D14" s="86">
        <f t="shared" ca="1" si="0"/>
        <v>0</v>
      </c>
      <c r="E14" s="87" t="str">
        <f t="shared" ca="1" si="1"/>
        <v>No keyword match</v>
      </c>
      <c r="G14">
        <f t="shared" ca="1" si="2"/>
        <v>10</v>
      </c>
      <c r="H14" s="88" t="str">
        <f t="shared" ca="1" si="3"/>
        <v>░░░░░░░░░░░░░░░░░░░░</v>
      </c>
    </row>
    <row r="15" spans="1:8" ht="19.5" customHeight="1" x14ac:dyDescent="0.25">
      <c r="A15" s="83" t="s">
        <v>164</v>
      </c>
      <c r="B15" s="84">
        <v>2</v>
      </c>
      <c r="C15" s="85">
        <f ca="1">IF(LEN(JD_INPUT!$B$12)&lt;5,0,MIN(2,SUMPRODUCT(--ISNUMBER(SEARCH(TRIM(MID(SUBSTITUTE(KEYWORDS!$B$44,"|",REPT(" ",200)),(ROW(INDIRECT("1:"&amp;KEYWORDS!$C$44))-1)*200+1,200)),JD_INPUT!$B$12)))))</f>
        <v>1</v>
      </c>
      <c r="D15" s="86">
        <f t="shared" ca="1" si="0"/>
        <v>2</v>
      </c>
      <c r="E15" s="87" t="str">
        <f t="shared" ca="1" si="1"/>
        <v>1 variant matched</v>
      </c>
      <c r="G15" t="str">
        <f t="shared" ca="1" si="2"/>
        <v/>
      </c>
      <c r="H15" s="88" t="str">
        <f t="shared" ca="1" si="3"/>
        <v>██████████░░░░░░░░░░</v>
      </c>
    </row>
    <row r="16" spans="1:8" ht="19.5" customHeight="1" x14ac:dyDescent="0.25">
      <c r="A16" s="83" t="s">
        <v>143</v>
      </c>
      <c r="B16" s="84">
        <v>2</v>
      </c>
      <c r="C16" s="85">
        <f ca="1">IF(LEN(JD_INPUT!$B$12)&lt;5,0,MIN(2,SUMPRODUCT(--ISNUMBER(SEARCH(TRIM(MID(SUBSTITUTE(KEYWORDS!$B$45,"|",REPT(" ",200)),(ROW(INDIRECT("1:"&amp;KEYWORDS!$C$45))-1)*200+1,200)),JD_INPUT!$B$12)))))</f>
        <v>0</v>
      </c>
      <c r="D16" s="91">
        <f t="shared" ca="1" si="0"/>
        <v>0</v>
      </c>
      <c r="E16" s="87" t="str">
        <f t="shared" ca="1" si="1"/>
        <v>No keyword match</v>
      </c>
      <c r="G16">
        <f t="shared" ca="1" si="2"/>
        <v>11</v>
      </c>
      <c r="H16" s="92" t="str">
        <f t="shared" ca="1" si="3"/>
        <v>░░░░░░░░░░░░░░░░░░░░</v>
      </c>
    </row>
    <row r="17" spans="1:8" ht="19.5" customHeight="1" x14ac:dyDescent="0.25">
      <c r="A17" s="83" t="s">
        <v>165</v>
      </c>
      <c r="B17" s="84">
        <v>2</v>
      </c>
      <c r="C17" s="85">
        <f ca="1">IF(LEN(JD_INPUT!$B$12)&lt;5,0,MIN(2,SUMPRODUCT(--ISNUMBER(SEARCH(TRIM(MID(SUBSTITUTE(KEYWORDS!$B$46,"|",REPT(" ",200)),(ROW(INDIRECT("1:"&amp;KEYWORDS!$C$46))-1)*200+1,200)),JD_INPUT!$B$12)))))</f>
        <v>1</v>
      </c>
      <c r="D17" s="86">
        <f t="shared" ca="1" si="0"/>
        <v>2</v>
      </c>
      <c r="E17" s="87" t="str">
        <f t="shared" ca="1" si="1"/>
        <v>1 variant matched</v>
      </c>
      <c r="G17" t="str">
        <f t="shared" ca="1" si="2"/>
        <v/>
      </c>
      <c r="H17" s="88" t="str">
        <f t="shared" ca="1" si="3"/>
        <v>██████████░░░░░░░░░░</v>
      </c>
    </row>
    <row r="18" spans="1:8" ht="19.5" customHeight="1" x14ac:dyDescent="0.25">
      <c r="A18" s="83" t="s">
        <v>166</v>
      </c>
      <c r="B18" s="84">
        <v>2</v>
      </c>
      <c r="C18" s="85">
        <f ca="1">IF(LEN(JD_INPUT!$B$12)&lt;5,0,MIN(2,SUMPRODUCT(--ISNUMBER(SEARCH(TRIM(MID(SUBSTITUTE(KEYWORDS!$B$47,"|",REPT(" ",200)),(ROW(INDIRECT("1:"&amp;KEYWORDS!$C$47))-1)*200+1,200)),JD_INPUT!$B$12)))))</f>
        <v>0</v>
      </c>
      <c r="D18" s="86">
        <f t="shared" ca="1" si="0"/>
        <v>0</v>
      </c>
      <c r="E18" s="87" t="str">
        <f t="shared" ca="1" si="1"/>
        <v>No keyword match</v>
      </c>
      <c r="G18">
        <f t="shared" ca="1" si="2"/>
        <v>12</v>
      </c>
      <c r="H18" s="88" t="str">
        <f t="shared" ca="1" si="3"/>
        <v>░░░░░░░░░░░░░░░░░░░░</v>
      </c>
    </row>
    <row r="19" spans="1:8" ht="24" customHeight="1" x14ac:dyDescent="0.25">
      <c r="A19" s="194" t="s">
        <v>126</v>
      </c>
      <c r="B19" s="165"/>
      <c r="C19" s="165"/>
      <c r="D19" s="93">
        <f ca="1">SUM(D4:D18)</f>
        <v>6</v>
      </c>
      <c r="E19" s="94"/>
      <c r="H19" s="95" t="str">
        <f ca="1">IF(D19=0,"⏳ Waiting for JD",REPT("█",MIN(30,D19))&amp;"  ("&amp;D19&amp;"/30)")</f>
        <v>██████  (6/30)</v>
      </c>
    </row>
    <row r="20" spans="1:8" ht="21" customHeight="1" x14ac:dyDescent="0.25">
      <c r="H20" s="96" t="s">
        <v>127</v>
      </c>
    </row>
    <row r="21" spans="1:8" ht="18.75" customHeight="1" x14ac:dyDescent="0.25">
      <c r="A21" s="195" t="s">
        <v>128</v>
      </c>
      <c r="B21" s="165"/>
      <c r="C21" s="165"/>
      <c r="D21" s="165"/>
      <c r="E21" s="165"/>
    </row>
    <row r="22" spans="1:8" ht="15" customHeight="1" x14ac:dyDescent="0.25">
      <c r="A22" s="196" t="s">
        <v>129</v>
      </c>
      <c r="B22" s="165"/>
      <c r="C22" s="165"/>
      <c r="D22" s="85">
        <f>MIN(5,IF(ISNUMBER(SEARCH("sla",JD_INPUT!$B$12)),1,0)+IF(ISNUMBER(SEARCH("itil",JD_INPUT!$B$12)),1,0)+IF(ISNUMBER(SEARCH("incident",JD_INPUT!$B$12)),1,0)+IF(ISNUMBER(SEARCH("change management",JD_INPUT!$B$12)),1,0)+IF(ISNUMBER(SEARCH("service delivery",JD_INPUT!$B$12)),1,0))</f>
        <v>1</v>
      </c>
      <c r="E22" s="8" t="s">
        <v>167</v>
      </c>
    </row>
    <row r="23" spans="1:8" ht="15" customHeight="1" x14ac:dyDescent="0.25">
      <c r="A23" s="196" t="s">
        <v>131</v>
      </c>
      <c r="B23" s="165"/>
      <c r="C23" s="165"/>
      <c r="D23" s="85">
        <f>MIN(5,IF(ISNUMBER(SEARCH("managed services",JD_INPUT!$B$12)),1,0)+IF(ISNUMBER(SEARCH("support",JD_INPUT!$B$12)),1,0)+IF(ISNUMBER(SEARCH("operations",JD_INPUT!$B$12)),1,0)+IF(ISNUMBER(SEARCH("msp",JD_INPUT!$B$12)),1,0)+IF(ISNUMBER(SEARCH("outsourcing",JD_INPUT!$B$12)),1,0))</f>
        <v>2</v>
      </c>
      <c r="E23" s="8" t="s">
        <v>168</v>
      </c>
    </row>
    <row r="24" spans="1:8" ht="15" customHeight="1" x14ac:dyDescent="0.25">
      <c r="A24" s="196" t="s">
        <v>133</v>
      </c>
      <c r="B24" s="165"/>
      <c r="C24" s="165"/>
      <c r="D24" s="97">
        <f>MIN(5,IF(ISNUMBER(SEARCH("ai strategy",JD_INPUT!$B$12)),1,0)+IF(ISNUMBER(SEARCH("innovation",JD_INPUT!$B$12)),1,0)+IF(ISNUMBER(SEARCH("transformation roadmap",JD_INPUT!$B$12)),1,0)+IF(ISNUMBER(SEARCH("genai",JD_INPUT!$B$12)),1,0)+IF(ISNUMBER(SEARCH("ai vision",JD_INPUT!$B$12)),1,0))</f>
        <v>0</v>
      </c>
      <c r="E24" s="8" t="s">
        <v>169</v>
      </c>
    </row>
    <row r="26" spans="1:8" ht="15" customHeight="1" x14ac:dyDescent="0.25">
      <c r="A26" s="197" t="s">
        <v>135</v>
      </c>
      <c r="B26" s="165"/>
      <c r="C26" s="165"/>
      <c r="D26" s="98">
        <f ca="1">D19+D22+D23-D24</f>
        <v>9</v>
      </c>
      <c r="E26" s="99"/>
    </row>
    <row r="28" spans="1:8" ht="18.75" customHeight="1" x14ac:dyDescent="0.25">
      <c r="A28" s="198" t="s">
        <v>136</v>
      </c>
      <c r="B28" s="165"/>
      <c r="C28" s="165"/>
      <c r="D28" s="165"/>
      <c r="E28" s="165"/>
    </row>
    <row r="29" spans="1:8" ht="16.5" customHeight="1" x14ac:dyDescent="0.25">
      <c r="A29" s="199"/>
      <c r="B29" s="165"/>
      <c r="C29" s="165"/>
      <c r="D29" s="165"/>
      <c r="E29" s="165"/>
    </row>
    <row r="30" spans="1:8" ht="24" customHeight="1" x14ac:dyDescent="0.25">
      <c r="A30" s="200" t="s">
        <v>137</v>
      </c>
      <c r="B30" s="165"/>
      <c r="C30" s="165"/>
      <c r="D30" s="165"/>
      <c r="E30" s="165"/>
    </row>
    <row r="31" spans="1:8" ht="19.5" customHeight="1" x14ac:dyDescent="0.25">
      <c r="A31" s="201" t="s">
        <v>138</v>
      </c>
      <c r="B31" s="201" t="s">
        <v>139</v>
      </c>
      <c r="C31" s="201" t="s">
        <v>107</v>
      </c>
      <c r="D31" s="201" t="s">
        <v>140</v>
      </c>
      <c r="E31" s="201" t="s">
        <v>141</v>
      </c>
    </row>
    <row r="32" spans="1:8" ht="22.5" customHeight="1" x14ac:dyDescent="0.25">
      <c r="A32" s="202">
        <v>1</v>
      </c>
      <c r="B32" s="203" t="str">
        <f ca="1">IFERROR(INDEX($A$4:$A$18,MATCH(1,$G$4:$G$18,0)),"All matched")</f>
        <v>IT delivery management</v>
      </c>
      <c r="C32" s="204">
        <f t="shared" ref="C32:C36" ca="1" si="4">IFERROR(VLOOKUP(B32,$A$4:$B$18,2,FALSE),"-")</f>
        <v>2</v>
      </c>
      <c r="D32" s="205" t="str">
        <f t="shared" ref="D32:D36" ca="1" si="5">IF(ISNUMBER(C32),"+"&amp;(C32*2)&amp;" pts","-")</f>
        <v>+4 pts</v>
      </c>
      <c r="E32" s="206" t="str">
        <f t="shared" ref="E32:E36" ca="1" si="6">"Add a bullet mentioning: "&amp;B32</f>
        <v>Add a bullet mentioning: IT delivery management</v>
      </c>
    </row>
    <row r="33" spans="1:5" ht="22.5" customHeight="1" x14ac:dyDescent="0.25">
      <c r="A33" s="202">
        <v>2</v>
      </c>
      <c r="B33" s="203" t="str">
        <f ca="1">IFERROR(INDEX($A$4:$A$18,MATCH(2,$G$4:$G$18,0)),"All matched")</f>
        <v>Service delivery</v>
      </c>
      <c r="C33" s="204">
        <f t="shared" ca="1" si="4"/>
        <v>2</v>
      </c>
      <c r="D33" s="205" t="str">
        <f t="shared" ca="1" si="5"/>
        <v>+4 pts</v>
      </c>
      <c r="E33" s="206" t="str">
        <f t="shared" ca="1" si="6"/>
        <v>Add a bullet mentioning: Service delivery</v>
      </c>
    </row>
    <row r="34" spans="1:5" ht="22.5" customHeight="1" x14ac:dyDescent="0.25">
      <c r="A34" s="100">
        <v>3</v>
      </c>
      <c r="B34" s="101" t="str">
        <f ca="1">IFERROR(INDEX($A$4:$A$18,MATCH(3,$G$4:$G$18,0)),"All matched")</f>
        <v>Incident management</v>
      </c>
      <c r="C34" s="102">
        <f t="shared" ca="1" si="4"/>
        <v>2</v>
      </c>
      <c r="D34" s="103" t="str">
        <f t="shared" ca="1" si="5"/>
        <v>+4 pts</v>
      </c>
      <c r="E34" s="104" t="str">
        <f t="shared" ca="1" si="6"/>
        <v>Add a bullet mentioning: Incident management</v>
      </c>
    </row>
    <row r="35" spans="1:5" ht="22.5" customHeight="1" x14ac:dyDescent="0.25">
      <c r="A35" s="100">
        <v>4</v>
      </c>
      <c r="B35" s="101" t="str">
        <f ca="1">IFERROR(INDEX($A$4:$A$18,MATCH(4,$G$4:$G$18,0)),"All matched")</f>
        <v>Problem management</v>
      </c>
      <c r="C35" s="102">
        <f t="shared" ca="1" si="4"/>
        <v>2</v>
      </c>
      <c r="D35" s="103" t="str">
        <f t="shared" ca="1" si="5"/>
        <v>+4 pts</v>
      </c>
      <c r="E35" s="104" t="str">
        <f t="shared" ca="1" si="6"/>
        <v>Add a bullet mentioning: Problem management</v>
      </c>
    </row>
    <row r="36" spans="1:5" ht="22.5" customHeight="1" x14ac:dyDescent="0.25">
      <c r="A36" s="100">
        <v>5</v>
      </c>
      <c r="B36" s="101" t="str">
        <f ca="1">IFERROR(INDEX($A$4:$A$18,MATCH(5,$G$4:$G$18,0)),"All matched")</f>
        <v>Change management</v>
      </c>
      <c r="C36" s="102">
        <f t="shared" ca="1" si="4"/>
        <v>2</v>
      </c>
      <c r="D36" s="103" t="str">
        <f t="shared" ca="1" si="5"/>
        <v>+4 pts</v>
      </c>
      <c r="E36" s="104" t="str">
        <f t="shared" ca="1" si="6"/>
        <v>Add a bullet mentioning: Change management</v>
      </c>
    </row>
  </sheetData>
  <mergeCells count="9">
    <mergeCell ref="A24:C24"/>
    <mergeCell ref="A26:C26"/>
    <mergeCell ref="A28:E28"/>
    <mergeCell ref="A29:E33"/>
    <mergeCell ref="A1:E1"/>
    <mergeCell ref="A19:C19"/>
    <mergeCell ref="A21:E21"/>
    <mergeCell ref="A22:C22"/>
    <mergeCell ref="A23:C23"/>
  </mergeCells>
  <pageMargins left="0.7" right="0.7" top="0.75" bottom="0.75" header="0.3" footer="0.3"/>
  <pageSetup orientation="portrait"/>
  <headerFooter>
    <oddHeader>&amp;L&amp;C&amp;R</oddHeader>
    <oddFooter>&amp;L&amp;C&amp;R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B6E28-4408-4388-4F5B-4D62A00007D7}">
  <dimension ref="A1:H36"/>
  <sheetViews>
    <sheetView workbookViewId="0">
      <selection sqref="A1:E1"/>
    </sheetView>
  </sheetViews>
  <sheetFormatPr defaultColWidth="8.85546875" defaultRowHeight="15" customHeight="1" x14ac:dyDescent="0.25"/>
  <cols>
    <col min="1" max="1" width="37.140625" customWidth="1"/>
    <col min="2" max="2" width="11.42578125" customWidth="1"/>
    <col min="3" max="3" width="20" customWidth="1"/>
    <col min="4" max="4" width="18.5703125" customWidth="1"/>
    <col min="5" max="5" width="37.140625" customWidth="1"/>
    <col min="6" max="7" width="3.5703125" customWidth="1"/>
    <col min="8" max="8" width="32.85546875" customWidth="1"/>
  </cols>
  <sheetData>
    <row r="1" spans="1:8" ht="30" customHeight="1" x14ac:dyDescent="0.25">
      <c r="A1" s="207" t="s">
        <v>170</v>
      </c>
      <c r="B1" s="165"/>
      <c r="C1" s="165"/>
      <c r="D1" s="165"/>
      <c r="E1" s="165"/>
    </row>
    <row r="2" spans="1:8" ht="6" customHeight="1" x14ac:dyDescent="0.25"/>
    <row r="3" spans="1:8" ht="19.5" customHeight="1" x14ac:dyDescent="0.25">
      <c r="A3" s="105" t="s">
        <v>106</v>
      </c>
      <c r="B3" s="105" t="s">
        <v>107</v>
      </c>
      <c r="C3" s="105" t="s">
        <v>108</v>
      </c>
      <c r="D3" s="105" t="s">
        <v>109</v>
      </c>
      <c r="E3" s="105" t="s">
        <v>110</v>
      </c>
      <c r="H3" s="105" t="s">
        <v>111</v>
      </c>
    </row>
    <row r="4" spans="1:8" ht="19.5" customHeight="1" x14ac:dyDescent="0.25">
      <c r="A4" s="106" t="s">
        <v>171</v>
      </c>
      <c r="B4" s="107">
        <v>2</v>
      </c>
      <c r="C4" s="108">
        <f ca="1">IF(LEN(JD_INPUT!$B$12)&lt;5,0,MIN(2,SUMPRODUCT(--ISNUMBER(SEARCH(TRIM(MID(SUBSTITUTE(KEYWORDS!$B$48,"|",REPT(" ",200)),(ROW(INDIRECT("1:"&amp;KEYWORDS!$C$48))-1)*200+1,200)),JD_INPUT!$B$12)))))</f>
        <v>0</v>
      </c>
      <c r="D4" s="109">
        <f t="shared" ref="D4:D18" ca="1" si="0">B4*C4</f>
        <v>0</v>
      </c>
      <c r="E4" s="110" t="str">
        <f t="shared" ref="E4:E18" ca="1" si="1">IF(C4=0,"No keyword match",IF(C4=1,"1 variant matched","2+ variants matched"))</f>
        <v>No keyword match</v>
      </c>
      <c r="G4" s="111">
        <f t="shared" ref="G4:G18" ca="1" si="2">IF(C4=0,COUNTIF($C$4:C4,0),"")</f>
        <v>1</v>
      </c>
      <c r="H4" s="112" t="str">
        <f t="shared" ref="H4:H18" ca="1" si="3">IF(D4=0,REPT("░",20),REPT("█",MIN(20,D4*5))&amp;REPT("░",MAX(0,20-MIN(20,D4*5))))</f>
        <v>░░░░░░░░░░░░░░░░░░░░</v>
      </c>
    </row>
    <row r="5" spans="1:8" ht="19.5" customHeight="1" x14ac:dyDescent="0.25">
      <c r="A5" s="106" t="s">
        <v>172</v>
      </c>
      <c r="B5" s="107">
        <v>2</v>
      </c>
      <c r="C5" s="108">
        <f ca="1">IF(LEN(JD_INPUT!$B$12)&lt;5,0,MIN(2,SUMPRODUCT(--ISNUMBER(SEARCH(TRIM(MID(SUBSTITUTE(KEYWORDS!$B$49,"|",REPT(" ",200)),(ROW(INDIRECT("1:"&amp;KEYWORDS!$C$49))-1)*200+1,200)),JD_INPUT!$B$12)))))</f>
        <v>0</v>
      </c>
      <c r="D5" s="109">
        <f t="shared" ca="1" si="0"/>
        <v>0</v>
      </c>
      <c r="E5" s="110" t="str">
        <f t="shared" ca="1" si="1"/>
        <v>No keyword match</v>
      </c>
      <c r="G5" s="111">
        <f t="shared" ca="1" si="2"/>
        <v>2</v>
      </c>
      <c r="H5" s="112" t="str">
        <f t="shared" ca="1" si="3"/>
        <v>░░░░░░░░░░░░░░░░░░░░</v>
      </c>
    </row>
    <row r="6" spans="1:8" ht="19.5" customHeight="1" x14ac:dyDescent="0.25">
      <c r="A6" s="106" t="s">
        <v>173</v>
      </c>
      <c r="B6" s="107">
        <v>2</v>
      </c>
      <c r="C6" s="108">
        <f ca="1">IF(LEN(JD_INPUT!$B$12)&lt;5,0,MIN(2,SUMPRODUCT(--ISNUMBER(SEARCH(TRIM(MID(SUBSTITUTE(KEYWORDS!$B$50,"|",REPT(" ",200)),(ROW(INDIRECT("1:"&amp;KEYWORDS!$C$50))-1)*200+1,200)),JD_INPUT!$B$12)))))</f>
        <v>1</v>
      </c>
      <c r="D6" s="109">
        <f t="shared" ca="1" si="0"/>
        <v>2</v>
      </c>
      <c r="E6" s="110" t="str">
        <f t="shared" ca="1" si="1"/>
        <v>1 variant matched</v>
      </c>
      <c r="G6" s="111" t="str">
        <f t="shared" ca="1" si="2"/>
        <v/>
      </c>
      <c r="H6" s="112" t="str">
        <f t="shared" ca="1" si="3"/>
        <v>██████████░░░░░░░░░░</v>
      </c>
    </row>
    <row r="7" spans="1:8" ht="19.5" customHeight="1" x14ac:dyDescent="0.25">
      <c r="A7" s="106" t="s">
        <v>174</v>
      </c>
      <c r="B7" s="107">
        <v>2</v>
      </c>
      <c r="C7" s="108">
        <f ca="1">IF(LEN(JD_INPUT!$B$12)&lt;5,0,MIN(2,SUMPRODUCT(--ISNUMBER(SEARCH(TRIM(MID(SUBSTITUTE(KEYWORDS!$B$51,"|",REPT(" ",200)),(ROW(INDIRECT("1:"&amp;KEYWORDS!$C$51))-1)*200+1,200)),JD_INPUT!$B$12)))))</f>
        <v>0</v>
      </c>
      <c r="D7" s="109">
        <f t="shared" ca="1" si="0"/>
        <v>0</v>
      </c>
      <c r="E7" s="110" t="str">
        <f t="shared" ca="1" si="1"/>
        <v>No keyword match</v>
      </c>
      <c r="G7" s="111">
        <f t="shared" ca="1" si="2"/>
        <v>3</v>
      </c>
      <c r="H7" s="112" t="str">
        <f t="shared" ca="1" si="3"/>
        <v>░░░░░░░░░░░░░░░░░░░░</v>
      </c>
    </row>
    <row r="8" spans="1:8" ht="19.5" customHeight="1" x14ac:dyDescent="0.25">
      <c r="A8" s="106" t="s">
        <v>175</v>
      </c>
      <c r="B8" s="107">
        <v>2</v>
      </c>
      <c r="C8" s="108">
        <f ca="1">IF(LEN(JD_INPUT!$B$12)&lt;5,0,MIN(2,SUMPRODUCT(--ISNUMBER(SEARCH(TRIM(MID(SUBSTITUTE(KEYWORDS!$B$52,"|",REPT(" ",200)),(ROW(INDIRECT("1:"&amp;KEYWORDS!$C$52))-1)*200+1,200)),JD_INPUT!$B$12)))))</f>
        <v>0</v>
      </c>
      <c r="D8" s="109">
        <f t="shared" ca="1" si="0"/>
        <v>0</v>
      </c>
      <c r="E8" s="110" t="str">
        <f t="shared" ca="1" si="1"/>
        <v>No keyword match</v>
      </c>
      <c r="G8" s="111">
        <f t="shared" ca="1" si="2"/>
        <v>4</v>
      </c>
      <c r="H8" s="112" t="str">
        <f t="shared" ca="1" si="3"/>
        <v>░░░░░░░░░░░░░░░░░░░░</v>
      </c>
    </row>
    <row r="9" spans="1:8" ht="19.5" customHeight="1" x14ac:dyDescent="0.25">
      <c r="A9" s="106" t="s">
        <v>176</v>
      </c>
      <c r="B9" s="107">
        <v>2</v>
      </c>
      <c r="C9" s="108">
        <f ca="1">IF(LEN(JD_INPUT!$B$12)&lt;5,0,MIN(2,SUMPRODUCT(--ISNUMBER(SEARCH(TRIM(MID(SUBSTITUTE(KEYWORDS!$B$53,"|",REPT(" ",200)),(ROW(INDIRECT("1:"&amp;KEYWORDS!$C$53))-1)*200+1,200)),JD_INPUT!$B$12)))))</f>
        <v>0</v>
      </c>
      <c r="D9" s="109">
        <f t="shared" ca="1" si="0"/>
        <v>0</v>
      </c>
      <c r="E9" s="110" t="str">
        <f t="shared" ca="1" si="1"/>
        <v>No keyword match</v>
      </c>
      <c r="G9" s="111">
        <f t="shared" ca="1" si="2"/>
        <v>5</v>
      </c>
      <c r="H9" s="112" t="str">
        <f t="shared" ca="1" si="3"/>
        <v>░░░░░░░░░░░░░░░░░░░░</v>
      </c>
    </row>
    <row r="10" spans="1:8" ht="19.5" customHeight="1" x14ac:dyDescent="0.25">
      <c r="A10" s="106" t="s">
        <v>177</v>
      </c>
      <c r="B10" s="107">
        <v>2</v>
      </c>
      <c r="C10" s="108">
        <f ca="1">IF(LEN(JD_INPUT!$B$12)&lt;5,0,MIN(2,SUMPRODUCT(--ISNUMBER(SEARCH(TRIM(MID(SUBSTITUTE(KEYWORDS!$B$54,"|",REPT(" ",200)),(ROW(INDIRECT("1:"&amp;KEYWORDS!$C$54))-1)*200+1,200)),JD_INPUT!$B$12)))))</f>
        <v>0</v>
      </c>
      <c r="D10" s="109">
        <f t="shared" ca="1" si="0"/>
        <v>0</v>
      </c>
      <c r="E10" s="110" t="str">
        <f t="shared" ca="1" si="1"/>
        <v>No keyword match</v>
      </c>
      <c r="G10" s="111">
        <f t="shared" ca="1" si="2"/>
        <v>6</v>
      </c>
      <c r="H10" s="112" t="str">
        <f t="shared" ca="1" si="3"/>
        <v>░░░░░░░░░░░░░░░░░░░░</v>
      </c>
    </row>
    <row r="11" spans="1:8" ht="19.5" customHeight="1" x14ac:dyDescent="0.25">
      <c r="A11" s="106" t="s">
        <v>178</v>
      </c>
      <c r="B11" s="107">
        <v>2</v>
      </c>
      <c r="C11" s="108">
        <f ca="1">IF(LEN(JD_INPUT!$B$12)&lt;5,0,MIN(2,SUMPRODUCT(--ISNUMBER(SEARCH(TRIM(MID(SUBSTITUTE(KEYWORDS!$B$55,"|",REPT(" ",200)),(ROW(INDIRECT("1:"&amp;KEYWORDS!$C$55))-1)*200+1,200)),JD_INPUT!$B$12)))))</f>
        <v>0</v>
      </c>
      <c r="D11" s="109">
        <f t="shared" ca="1" si="0"/>
        <v>0</v>
      </c>
      <c r="E11" s="110" t="str">
        <f t="shared" ca="1" si="1"/>
        <v>No keyword match</v>
      </c>
      <c r="G11" s="111">
        <f t="shared" ca="1" si="2"/>
        <v>7</v>
      </c>
      <c r="H11" s="112" t="str">
        <f t="shared" ca="1" si="3"/>
        <v>░░░░░░░░░░░░░░░░░░░░</v>
      </c>
    </row>
    <row r="12" spans="1:8" ht="19.5" customHeight="1" x14ac:dyDescent="0.25">
      <c r="A12" s="106" t="s">
        <v>179</v>
      </c>
      <c r="B12" s="107">
        <v>2</v>
      </c>
      <c r="C12" s="108">
        <f ca="1">IF(LEN(JD_INPUT!$B$12)&lt;5,0,MIN(2,SUMPRODUCT(--ISNUMBER(SEARCH(TRIM(MID(SUBSTITUTE(KEYWORDS!$B$56,"|",REPT(" ",200)),(ROW(INDIRECT("1:"&amp;KEYWORDS!$C$56))-1)*200+1,200)),JD_INPUT!$B$12)))))</f>
        <v>2</v>
      </c>
      <c r="D12" s="109">
        <f t="shared" ca="1" si="0"/>
        <v>4</v>
      </c>
      <c r="E12" s="110" t="str">
        <f t="shared" ca="1" si="1"/>
        <v>2+ variants matched</v>
      </c>
      <c r="G12" s="111" t="str">
        <f t="shared" ca="1" si="2"/>
        <v/>
      </c>
      <c r="H12" s="112" t="str">
        <f t="shared" ca="1" si="3"/>
        <v>████████████████████</v>
      </c>
    </row>
    <row r="13" spans="1:8" ht="19.5" customHeight="1" x14ac:dyDescent="0.25">
      <c r="A13" s="106" t="s">
        <v>180</v>
      </c>
      <c r="B13" s="107">
        <v>2</v>
      </c>
      <c r="C13" s="108">
        <f ca="1">IF(LEN(JD_INPUT!$B$12)&lt;5,0,MIN(2,SUMPRODUCT(--ISNUMBER(SEARCH(TRIM(MID(SUBSTITUTE(KEYWORDS!$B$57,"|",REPT(" ",200)),(ROW(INDIRECT("1:"&amp;KEYWORDS!$C$57))-1)*200+1,200)),JD_INPUT!$B$12)))))</f>
        <v>0</v>
      </c>
      <c r="D13" s="109">
        <f t="shared" ca="1" si="0"/>
        <v>0</v>
      </c>
      <c r="E13" s="110" t="str">
        <f t="shared" ca="1" si="1"/>
        <v>No keyword match</v>
      </c>
      <c r="G13" s="111">
        <f t="shared" ca="1" si="2"/>
        <v>8</v>
      </c>
      <c r="H13" s="112" t="str">
        <f t="shared" ca="1" si="3"/>
        <v>░░░░░░░░░░░░░░░░░░░░</v>
      </c>
    </row>
    <row r="14" spans="1:8" ht="19.5" customHeight="1" x14ac:dyDescent="0.25">
      <c r="A14" s="106" t="s">
        <v>181</v>
      </c>
      <c r="B14" s="107">
        <v>2</v>
      </c>
      <c r="C14" s="108">
        <f ca="1">IF(LEN(JD_INPUT!$B$12)&lt;5,0,MIN(2,SUMPRODUCT(--ISNUMBER(SEARCH(TRIM(MID(SUBSTITUTE(KEYWORDS!$B$58,"|",REPT(" ",200)),(ROW(INDIRECT("1:"&amp;KEYWORDS!$C$58))-1)*200+1,200)),JD_INPUT!$B$12)))))</f>
        <v>1</v>
      </c>
      <c r="D14" s="109">
        <f t="shared" ca="1" si="0"/>
        <v>2</v>
      </c>
      <c r="E14" s="110" t="str">
        <f t="shared" ca="1" si="1"/>
        <v>1 variant matched</v>
      </c>
      <c r="G14" s="111" t="str">
        <f t="shared" ca="1" si="2"/>
        <v/>
      </c>
      <c r="H14" s="112" t="str">
        <f t="shared" ca="1" si="3"/>
        <v>██████████░░░░░░░░░░</v>
      </c>
    </row>
    <row r="15" spans="1:8" ht="19.5" customHeight="1" x14ac:dyDescent="0.25">
      <c r="A15" s="106" t="s">
        <v>182</v>
      </c>
      <c r="B15" s="107">
        <v>2</v>
      </c>
      <c r="C15" s="108">
        <f ca="1">IF(LEN(JD_INPUT!$B$12)&lt;5,0,MIN(2,SUMPRODUCT(--ISNUMBER(SEARCH(TRIM(MID(SUBSTITUTE(KEYWORDS!$B$59,"|",REPT(" ",200)),(ROW(INDIRECT("1:"&amp;KEYWORDS!$C$59))-1)*200+1,200)),JD_INPUT!$B$12)))))</f>
        <v>0</v>
      </c>
      <c r="D15" s="109">
        <f t="shared" ca="1" si="0"/>
        <v>0</v>
      </c>
      <c r="E15" s="110" t="str">
        <f t="shared" ca="1" si="1"/>
        <v>No keyword match</v>
      </c>
      <c r="G15" s="111">
        <f t="shared" ca="1" si="2"/>
        <v>9</v>
      </c>
      <c r="H15" s="112" t="str">
        <f t="shared" ca="1" si="3"/>
        <v>░░░░░░░░░░░░░░░░░░░░</v>
      </c>
    </row>
    <row r="16" spans="1:8" ht="19.5" customHeight="1" x14ac:dyDescent="0.25">
      <c r="A16" s="106" t="s">
        <v>183</v>
      </c>
      <c r="B16" s="107">
        <v>2</v>
      </c>
      <c r="C16" s="108">
        <f ca="1">IF(LEN(JD_INPUT!$B$12)&lt;5,0,MIN(2,SUMPRODUCT(--ISNUMBER(SEARCH(TRIM(MID(SUBSTITUTE(KEYWORDS!$B$60,"|",REPT(" ",200)),(ROW(INDIRECT("1:"&amp;KEYWORDS!$C$60))-1)*200+1,200)),JD_INPUT!$B$12)))))</f>
        <v>0</v>
      </c>
      <c r="D16" s="109">
        <f t="shared" ca="1" si="0"/>
        <v>0</v>
      </c>
      <c r="E16" s="110" t="str">
        <f t="shared" ca="1" si="1"/>
        <v>No keyword match</v>
      </c>
      <c r="G16" s="111">
        <f t="shared" ca="1" si="2"/>
        <v>10</v>
      </c>
      <c r="H16" s="112" t="str">
        <f t="shared" ca="1" si="3"/>
        <v>░░░░░░░░░░░░░░░░░░░░</v>
      </c>
    </row>
    <row r="17" spans="1:8" ht="19.5" customHeight="1" x14ac:dyDescent="0.25">
      <c r="A17" s="106" t="s">
        <v>184</v>
      </c>
      <c r="B17" s="107">
        <v>2</v>
      </c>
      <c r="C17" s="108">
        <f ca="1">IF(LEN(JD_INPUT!$B$12)&lt;5,0,MIN(2,SUMPRODUCT(--ISNUMBER(SEARCH(TRIM(MID(SUBSTITUTE(KEYWORDS!$B$61,"|",REPT(" ",200)),(ROW(INDIRECT("1:"&amp;KEYWORDS!$C$61))-1)*200+1,200)),JD_INPUT!$B$12)))))</f>
        <v>1</v>
      </c>
      <c r="D17" s="109">
        <f t="shared" ca="1" si="0"/>
        <v>2</v>
      </c>
      <c r="E17" s="110" t="str">
        <f t="shared" ca="1" si="1"/>
        <v>1 variant matched</v>
      </c>
      <c r="G17" s="111" t="str">
        <f t="shared" ca="1" si="2"/>
        <v/>
      </c>
      <c r="H17" s="112" t="str">
        <f t="shared" ca="1" si="3"/>
        <v>██████████░░░░░░░░░░</v>
      </c>
    </row>
    <row r="18" spans="1:8" ht="19.5" customHeight="1" x14ac:dyDescent="0.25">
      <c r="A18" s="106" t="s">
        <v>185</v>
      </c>
      <c r="B18" s="107">
        <v>2</v>
      </c>
      <c r="C18" s="108">
        <f ca="1">IF(LEN(JD_INPUT!$B$12)&lt;5,0,MIN(2,SUMPRODUCT(--ISNUMBER(SEARCH(TRIM(MID(SUBSTITUTE(KEYWORDS!$B$62,"|",REPT(" ",200)),(ROW(INDIRECT("1:"&amp;KEYWORDS!$C$62))-1)*200+1,200)),JD_INPUT!$B$12)))))</f>
        <v>1</v>
      </c>
      <c r="D18" s="109">
        <f t="shared" ca="1" si="0"/>
        <v>2</v>
      </c>
      <c r="E18" s="110" t="str">
        <f t="shared" ca="1" si="1"/>
        <v>1 variant matched</v>
      </c>
      <c r="G18" s="111" t="str">
        <f t="shared" ca="1" si="2"/>
        <v/>
      </c>
      <c r="H18" s="112" t="str">
        <f t="shared" ca="1" si="3"/>
        <v>██████████░░░░░░░░░░</v>
      </c>
    </row>
    <row r="19" spans="1:8" ht="24" customHeight="1" x14ac:dyDescent="0.25">
      <c r="A19" s="208" t="s">
        <v>126</v>
      </c>
      <c r="B19" s="165"/>
      <c r="C19" s="165"/>
      <c r="D19" s="113">
        <f ca="1">SUM(D4:D18)</f>
        <v>12</v>
      </c>
      <c r="H19" s="114" t="str">
        <f ca="1">IF(D19=0,"⏳ Waiting for JD",REPT("█",MIN(30,D19))&amp;"  ("&amp;D19&amp;"/30)")</f>
        <v>████████████  (12/30)</v>
      </c>
    </row>
    <row r="20" spans="1:8" ht="21" customHeight="1" x14ac:dyDescent="0.25">
      <c r="H20" s="115" t="s">
        <v>127</v>
      </c>
    </row>
    <row r="21" spans="1:8" ht="19.5" customHeight="1" x14ac:dyDescent="0.25">
      <c r="A21" s="209" t="s">
        <v>128</v>
      </c>
      <c r="B21" s="165"/>
      <c r="C21" s="165"/>
      <c r="D21" s="165"/>
      <c r="E21" s="165"/>
    </row>
    <row r="22" spans="1:8" ht="19.5" customHeight="1" x14ac:dyDescent="0.25">
      <c r="A22" s="210" t="s">
        <v>129</v>
      </c>
      <c r="B22" s="165"/>
      <c r="C22" s="165"/>
      <c r="D22" s="108">
        <f>MIN(5,IF(ISNUMBER(SEARCH("product",JD_INPUT!$B$12)),1,0)+IF(ISNUMBER(SEARCH("roadmap",JD_INPUT!$B$12)),1,0)+IF(ISNUMBER(SEARCH("customer",JD_INPUT!$B$12)),1,0)+IF(ISNUMBER(SEARCH("user research",JD_INPUT!$B$12)),1,0)+IF(ISNUMBER(SEARCH("analytics",JD_INPUT!$B$12)),1,0))</f>
        <v>3</v>
      </c>
      <c r="E22" s="116" t="s">
        <v>186</v>
      </c>
    </row>
    <row r="23" spans="1:8" ht="19.5" customHeight="1" x14ac:dyDescent="0.25">
      <c r="A23" s="210" t="s">
        <v>187</v>
      </c>
      <c r="B23" s="165"/>
      <c r="C23" s="165"/>
      <c r="D23" s="108">
        <f>MIN(5,IF(ISNUMBER(SEARCH("saas",JD_INPUT!$B$12)),1,0)+IF(ISNUMBER(SEARCH("b2b",JD_INPUT!$B$12)),1,0)+IF(ISNUMBER(SEARCH("b2c",JD_INPUT!$B$12)),1,0)+IF(ISNUMBER(SEARCH("platform",JD_INPUT!$B$12)),1,0)+IF(ISNUMBER(SEARCH("product-led",JD_INPUT!$B$12)),1,0))</f>
        <v>1</v>
      </c>
      <c r="E23" s="116" t="s">
        <v>188</v>
      </c>
    </row>
    <row r="24" spans="1:8" ht="19.5" customHeight="1" x14ac:dyDescent="0.25">
      <c r="A24" s="210" t="s">
        <v>133</v>
      </c>
      <c r="B24" s="165"/>
      <c r="C24" s="165"/>
      <c r="D24" s="108">
        <f>MIN(5,IF(ISNUMBER(SEARCH("software engineer",JD_INPUT!$B$12)),1,0)+IF(ISNUMBER(SEARCH("python",JD_INPUT!$B$12)),1,0)+IF(ISNUMBER(SEARCH("data scientist",JD_INPUT!$B$12)),1,0)+IF(ISNUMBER(SEARCH("service delivery",JD_INPUT!$B$12)),1,0)+IF(ISNUMBER(SEARCH("incident management",JD_INPUT!$B$12)),1,0))</f>
        <v>0</v>
      </c>
      <c r="E24" s="116" t="s">
        <v>189</v>
      </c>
    </row>
    <row r="26" spans="1:8" ht="27" customHeight="1" x14ac:dyDescent="0.25">
      <c r="A26" s="211" t="s">
        <v>135</v>
      </c>
      <c r="B26" s="165"/>
      <c r="C26" s="165"/>
      <c r="D26" s="117">
        <f ca="1">D19+D22+D23-D24</f>
        <v>16</v>
      </c>
    </row>
    <row r="27" spans="1:8" ht="22.5" customHeight="1" x14ac:dyDescent="0.25">
      <c r="A27" s="212" t="s">
        <v>190</v>
      </c>
      <c r="B27" s="165"/>
      <c r="C27" s="165"/>
      <c r="D27" s="118" t="str">
        <f ca="1">IF(D26&gt;=32,"🟢 STRONG MATCH",IF(D26&gt;=25,"🔵 GOOD MATCH",IF(D26&gt;=18,"🟡 MODERATE MATCH","🔴 WEAK MATCH")))</f>
        <v>🔴 WEAK MATCH</v>
      </c>
    </row>
    <row r="28" spans="1:8" ht="19.5" customHeight="1" x14ac:dyDescent="0.25">
      <c r="A28" s="213" t="s">
        <v>191</v>
      </c>
      <c r="B28" s="165"/>
      <c r="C28" s="165"/>
      <c r="D28" s="119" t="str">
        <f ca="1">REPT("█",MIN(40,D26))&amp;REPT("░",MAX(0,40-MIN(40,D26)))</f>
        <v>████████████████░░░░░░░░░░░░░░░░░░░░░░░░</v>
      </c>
    </row>
    <row r="30" spans="1:8" ht="24" customHeight="1" x14ac:dyDescent="0.25">
      <c r="A30" s="214" t="s">
        <v>137</v>
      </c>
      <c r="B30" s="165"/>
      <c r="C30" s="165"/>
      <c r="D30" s="165"/>
      <c r="E30" s="165"/>
    </row>
    <row r="31" spans="1:8" ht="19.5" customHeight="1" x14ac:dyDescent="0.25">
      <c r="A31" s="105" t="s">
        <v>138</v>
      </c>
      <c r="B31" s="105" t="s">
        <v>139</v>
      </c>
      <c r="C31" s="105" t="s">
        <v>107</v>
      </c>
      <c r="D31" s="105" t="s">
        <v>140</v>
      </c>
      <c r="E31" s="105" t="s">
        <v>141</v>
      </c>
    </row>
    <row r="32" spans="1:8" ht="22.5" customHeight="1" x14ac:dyDescent="0.25">
      <c r="A32" s="120">
        <v>1</v>
      </c>
      <c r="B32" s="121" t="str">
        <f ca="1">IFERROR(INDEX($A$4:$A$18,MATCH(1,$G$4:$G$18,0)),"All matched")</f>
        <v>Product management</v>
      </c>
      <c r="C32" s="122">
        <f t="shared" ref="C32:C36" ca="1" si="4">IFERROR(VLOOKUP(B32,$A$4:$B$18,2,FALSE),"-")</f>
        <v>2</v>
      </c>
      <c r="D32" s="123" t="str">
        <f t="shared" ref="D32:D36" ca="1" si="5">IF(ISNUMBER(C32),"+"&amp;(C32*2)&amp;" pts","-")</f>
        <v>+4 pts</v>
      </c>
      <c r="E32" s="124" t="str">
        <f t="shared" ref="E32:E36" ca="1" si="6">"Add a bullet mentioning: "&amp;B32</f>
        <v>Add a bullet mentioning: Product management</v>
      </c>
    </row>
    <row r="33" spans="1:5" ht="22.5" customHeight="1" x14ac:dyDescent="0.25">
      <c r="A33" s="120">
        <v>2</v>
      </c>
      <c r="B33" s="121" t="str">
        <f ca="1">IFERROR(INDEX($A$4:$A$18,MATCH(2,$G$4:$G$18,0)),"All matched")</f>
        <v>Product strategy</v>
      </c>
      <c r="C33" s="122">
        <f t="shared" ca="1" si="4"/>
        <v>2</v>
      </c>
      <c r="D33" s="123" t="str">
        <f t="shared" ca="1" si="5"/>
        <v>+4 pts</v>
      </c>
      <c r="E33" s="124" t="str">
        <f t="shared" ca="1" si="6"/>
        <v>Add a bullet mentioning: Product strategy</v>
      </c>
    </row>
    <row r="34" spans="1:5" ht="22.5" customHeight="1" x14ac:dyDescent="0.25">
      <c r="A34" s="120">
        <v>3</v>
      </c>
      <c r="B34" s="121" t="str">
        <f ca="1">IFERROR(INDEX($A$4:$A$18,MATCH(3,$G$4:$G$18,0)),"All matched")</f>
        <v>Customer discovery</v>
      </c>
      <c r="C34" s="122">
        <f t="shared" ca="1" si="4"/>
        <v>2</v>
      </c>
      <c r="D34" s="123" t="str">
        <f t="shared" ca="1" si="5"/>
        <v>+4 pts</v>
      </c>
      <c r="E34" s="124" t="str">
        <f t="shared" ca="1" si="6"/>
        <v>Add a bullet mentioning: Customer discovery</v>
      </c>
    </row>
    <row r="35" spans="1:5" ht="22.5" customHeight="1" x14ac:dyDescent="0.25">
      <c r="A35" s="120">
        <v>4</v>
      </c>
      <c r="B35" s="121" t="str">
        <f ca="1">IFERROR(INDEX($A$4:$A$18,MATCH(4,$G$4:$G$18,0)),"All matched")</f>
        <v>User research</v>
      </c>
      <c r="C35" s="122">
        <f t="shared" ca="1" si="4"/>
        <v>2</v>
      </c>
      <c r="D35" s="123" t="str">
        <f t="shared" ca="1" si="5"/>
        <v>+4 pts</v>
      </c>
      <c r="E35" s="124" t="str">
        <f t="shared" ca="1" si="6"/>
        <v>Add a bullet mentioning: User research</v>
      </c>
    </row>
    <row r="36" spans="1:5" ht="22.5" customHeight="1" x14ac:dyDescent="0.25">
      <c r="A36" s="120">
        <v>5</v>
      </c>
      <c r="B36" s="121" t="str">
        <f ca="1">IFERROR(INDEX($A$4:$A$18,MATCH(5,$G$4:$G$18,0)),"All matched")</f>
        <v>Product analytics</v>
      </c>
      <c r="C36" s="122">
        <f t="shared" ca="1" si="4"/>
        <v>2</v>
      </c>
      <c r="D36" s="123" t="str">
        <f t="shared" ca="1" si="5"/>
        <v>+4 pts</v>
      </c>
      <c r="E36" s="124" t="str">
        <f t="shared" ca="1" si="6"/>
        <v>Add a bullet mentioning: Product analytics</v>
      </c>
    </row>
  </sheetData>
  <mergeCells count="10">
    <mergeCell ref="A24:C24"/>
    <mergeCell ref="A26:C26"/>
    <mergeCell ref="A27:C27"/>
    <mergeCell ref="A28:C28"/>
    <mergeCell ref="A30:E30"/>
    <mergeCell ref="A1:E1"/>
    <mergeCell ref="A19:C19"/>
    <mergeCell ref="A21:E21"/>
    <mergeCell ref="A22:C22"/>
    <mergeCell ref="A23:C23"/>
  </mergeCells>
  <conditionalFormatting sqref="D4:D18">
    <cfRule type="cellIs" dxfId="21" priority="4" operator="equal">
      <formula>0</formula>
    </cfRule>
    <cfRule type="cellIs" dxfId="20" priority="5" operator="equal">
      <formula>2</formula>
    </cfRule>
    <cfRule type="cellIs" dxfId="19" priority="6" operator="greaterThanOrEqual">
      <formula>4</formula>
    </cfRule>
  </conditionalFormatting>
  <conditionalFormatting sqref="D27">
    <cfRule type="containsText" dxfId="18" priority="7" operator="containsText" text="🔴">
      <formula>NOT(ISERROR(SEARCH("🔴",D27)))</formula>
    </cfRule>
    <cfRule type="containsText" dxfId="17" priority="8" operator="containsText" text="🟡">
      <formula>NOT(ISERROR(SEARCH("🟡",D27)))</formula>
    </cfRule>
    <cfRule type="containsText" dxfId="16" priority="9" operator="containsText" text="🔵">
      <formula>NOT(ISERROR(SEARCH("🔵",D27)))</formula>
    </cfRule>
    <cfRule type="containsText" dxfId="15" priority="10" operator="containsText" text="🟢">
      <formula>NOT(ISERROR(SEARCH("🟢",D27)))</formula>
    </cfRule>
  </conditionalFormatting>
  <conditionalFormatting sqref="H4:H18">
    <cfRule type="expression" dxfId="14" priority="1">
      <formula>$D4=0</formula>
    </cfRule>
    <cfRule type="expression" dxfId="13" priority="2">
      <formula>$D4=2</formula>
    </cfRule>
    <cfRule type="expression" dxfId="12" priority="3">
      <formula>$D4&gt;=4</formula>
    </cfRule>
  </conditionalFormatting>
  <pageMargins left="0.7" right="0.7" top="0.75" bottom="0.75" header="0.3" footer="0.3"/>
  <pageSetup orientation="portrait"/>
  <headerFooter>
    <oddHeader>&amp;L&amp;C&amp;R</oddHeader>
    <oddFooter>&amp;L&amp;C&amp;R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36617-C638-E898-A4A8-9946133C0957}">
  <dimension ref="A1:E62"/>
  <sheetViews>
    <sheetView workbookViewId="0">
      <pane ySplit="2" topLeftCell="A65" activePane="bottomLeft" state="frozen"/>
      <selection pane="bottomLeft" activeCell="A48" sqref="A48"/>
    </sheetView>
  </sheetViews>
  <sheetFormatPr defaultColWidth="8.85546875" defaultRowHeight="15" customHeight="1" x14ac:dyDescent="0.25"/>
  <cols>
    <col min="1" max="1" width="31.42578125" customWidth="1"/>
    <col min="2" max="2" width="88.5703125" customWidth="1"/>
    <col min="3" max="3" width="12.85546875" customWidth="1"/>
    <col min="4" max="4" width="15.7109375" customWidth="1"/>
    <col min="5" max="5" width="12.85546875" customWidth="1"/>
  </cols>
  <sheetData>
    <row r="1" spans="1:5" ht="24" customHeight="1" x14ac:dyDescent="0.25">
      <c r="A1" s="215" t="s">
        <v>192</v>
      </c>
      <c r="B1" s="165"/>
      <c r="C1" s="165"/>
      <c r="D1" s="165"/>
      <c r="E1" s="165"/>
    </row>
    <row r="2" spans="1:5" ht="18" customHeight="1" x14ac:dyDescent="0.25">
      <c r="A2" s="125" t="s">
        <v>193</v>
      </c>
      <c r="B2" s="125" t="s">
        <v>194</v>
      </c>
      <c r="C2" s="125" t="s">
        <v>195</v>
      </c>
      <c r="D2" s="126" t="s">
        <v>196</v>
      </c>
      <c r="E2" s="126" t="s">
        <v>67</v>
      </c>
    </row>
    <row r="3" spans="1:5" ht="22.5" customHeight="1" x14ac:dyDescent="0.25">
      <c r="A3" s="127" t="s">
        <v>112</v>
      </c>
      <c r="B3" s="128" t="s">
        <v>197</v>
      </c>
      <c r="C3" s="129">
        <f t="shared" ref="C3:C62" si="0">LEN(B3)-LEN(SUBSTITUTE(B3,"|",""))+1</f>
        <v>9</v>
      </c>
      <c r="D3" s="130" t="s">
        <v>198</v>
      </c>
      <c r="E3" s="130" t="s">
        <v>199</v>
      </c>
    </row>
    <row r="4" spans="1:5" ht="22.5" customHeight="1" x14ac:dyDescent="0.25">
      <c r="A4" s="127" t="s">
        <v>113</v>
      </c>
      <c r="B4" s="128" t="s">
        <v>200</v>
      </c>
      <c r="C4" s="129">
        <f t="shared" si="0"/>
        <v>7</v>
      </c>
      <c r="D4" s="130" t="s">
        <v>201</v>
      </c>
      <c r="E4" s="130" t="s">
        <v>199</v>
      </c>
    </row>
    <row r="5" spans="1:5" ht="22.5" customHeight="1" x14ac:dyDescent="0.25">
      <c r="A5" s="127" t="s">
        <v>202</v>
      </c>
      <c r="B5" s="128" t="s">
        <v>203</v>
      </c>
      <c r="C5" s="129">
        <f t="shared" si="0"/>
        <v>17</v>
      </c>
      <c r="D5" s="130" t="s">
        <v>198</v>
      </c>
      <c r="E5" s="130" t="s">
        <v>199</v>
      </c>
    </row>
    <row r="6" spans="1:5" ht="22.5" customHeight="1" x14ac:dyDescent="0.25">
      <c r="A6" s="127" t="s">
        <v>115</v>
      </c>
      <c r="B6" s="128" t="s">
        <v>204</v>
      </c>
      <c r="C6" s="129">
        <f t="shared" si="0"/>
        <v>9</v>
      </c>
      <c r="D6" s="130" t="s">
        <v>201</v>
      </c>
      <c r="E6" s="130" t="s">
        <v>199</v>
      </c>
    </row>
    <row r="7" spans="1:5" ht="22.5" customHeight="1" x14ac:dyDescent="0.25">
      <c r="A7" s="127" t="s">
        <v>205</v>
      </c>
      <c r="B7" s="128" t="s">
        <v>206</v>
      </c>
      <c r="C7" s="129">
        <f t="shared" si="0"/>
        <v>10</v>
      </c>
      <c r="D7" s="130" t="s">
        <v>198</v>
      </c>
      <c r="E7" s="130" t="s">
        <v>199</v>
      </c>
    </row>
    <row r="8" spans="1:5" ht="22.5" customHeight="1" x14ac:dyDescent="0.25">
      <c r="A8" s="127" t="s">
        <v>117</v>
      </c>
      <c r="B8" s="128" t="s">
        <v>207</v>
      </c>
      <c r="C8" s="129">
        <f t="shared" si="0"/>
        <v>7</v>
      </c>
      <c r="D8" s="130" t="s">
        <v>198</v>
      </c>
      <c r="E8" s="130" t="s">
        <v>199</v>
      </c>
    </row>
    <row r="9" spans="1:5" ht="22.5" customHeight="1" x14ac:dyDescent="0.25">
      <c r="A9" s="127" t="s">
        <v>118</v>
      </c>
      <c r="B9" s="128" t="s">
        <v>208</v>
      </c>
      <c r="C9" s="129">
        <f t="shared" si="0"/>
        <v>7</v>
      </c>
      <c r="D9" s="130" t="s">
        <v>201</v>
      </c>
      <c r="E9" s="130" t="s">
        <v>199</v>
      </c>
    </row>
    <row r="10" spans="1:5" ht="22.5" customHeight="1" x14ac:dyDescent="0.25">
      <c r="A10" s="127" t="s">
        <v>209</v>
      </c>
      <c r="B10" s="128" t="s">
        <v>210</v>
      </c>
      <c r="C10" s="129">
        <f t="shared" si="0"/>
        <v>9</v>
      </c>
      <c r="D10" s="130" t="s">
        <v>198</v>
      </c>
      <c r="E10" s="130" t="s">
        <v>199</v>
      </c>
    </row>
    <row r="11" spans="1:5" ht="22.5" customHeight="1" x14ac:dyDescent="0.25">
      <c r="A11" s="127" t="s">
        <v>119</v>
      </c>
      <c r="B11" s="128" t="s">
        <v>211</v>
      </c>
      <c r="C11" s="129">
        <f t="shared" si="0"/>
        <v>9</v>
      </c>
      <c r="D11" s="130" t="s">
        <v>201</v>
      </c>
      <c r="E11" s="130" t="s">
        <v>199</v>
      </c>
    </row>
    <row r="12" spans="1:5" ht="22.5" customHeight="1" x14ac:dyDescent="0.25">
      <c r="A12" s="127" t="s">
        <v>120</v>
      </c>
      <c r="B12" s="128" t="s">
        <v>212</v>
      </c>
      <c r="C12" s="129">
        <f t="shared" si="0"/>
        <v>7</v>
      </c>
      <c r="D12" s="130" t="s">
        <v>213</v>
      </c>
      <c r="E12" s="130" t="s">
        <v>199</v>
      </c>
    </row>
    <row r="13" spans="1:5" ht="22.5" customHeight="1" x14ac:dyDescent="0.25">
      <c r="A13" s="127" t="s">
        <v>214</v>
      </c>
      <c r="B13" s="128" t="s">
        <v>215</v>
      </c>
      <c r="C13" s="129">
        <f t="shared" si="0"/>
        <v>8</v>
      </c>
      <c r="D13" s="130" t="s">
        <v>213</v>
      </c>
      <c r="E13" s="130" t="s">
        <v>199</v>
      </c>
    </row>
    <row r="14" spans="1:5" ht="22.5" customHeight="1" x14ac:dyDescent="0.25">
      <c r="A14" s="127" t="s">
        <v>216</v>
      </c>
      <c r="B14" s="128" t="s">
        <v>217</v>
      </c>
      <c r="C14" s="129">
        <f t="shared" si="0"/>
        <v>11</v>
      </c>
      <c r="D14" s="130" t="s">
        <v>201</v>
      </c>
      <c r="E14" s="130" t="s">
        <v>199</v>
      </c>
    </row>
    <row r="15" spans="1:5" ht="22.5" customHeight="1" x14ac:dyDescent="0.25">
      <c r="A15" s="127" t="s">
        <v>123</v>
      </c>
      <c r="B15" s="128" t="s">
        <v>218</v>
      </c>
      <c r="C15" s="129">
        <f t="shared" si="0"/>
        <v>8</v>
      </c>
      <c r="D15" s="130" t="s">
        <v>213</v>
      </c>
      <c r="E15" s="130" t="s">
        <v>199</v>
      </c>
    </row>
    <row r="16" spans="1:5" ht="22.5" customHeight="1" x14ac:dyDescent="0.25">
      <c r="A16" s="127" t="s">
        <v>219</v>
      </c>
      <c r="B16" s="128" t="s">
        <v>220</v>
      </c>
      <c r="C16" s="129">
        <f t="shared" si="0"/>
        <v>6</v>
      </c>
      <c r="D16" s="130" t="s">
        <v>213</v>
      </c>
      <c r="E16" s="130" t="s">
        <v>199</v>
      </c>
    </row>
    <row r="17" spans="1:5" ht="22.5" customHeight="1" x14ac:dyDescent="0.25">
      <c r="A17" s="127" t="s">
        <v>221</v>
      </c>
      <c r="B17" s="128" t="s">
        <v>222</v>
      </c>
      <c r="C17" s="129">
        <f t="shared" si="0"/>
        <v>8</v>
      </c>
      <c r="D17" s="130" t="s">
        <v>201</v>
      </c>
      <c r="E17" s="130" t="s">
        <v>199</v>
      </c>
    </row>
    <row r="18" spans="1:5" ht="22.5" customHeight="1" x14ac:dyDescent="0.25">
      <c r="A18" s="127" t="s">
        <v>83</v>
      </c>
      <c r="B18" s="128" t="s">
        <v>223</v>
      </c>
      <c r="C18" s="129">
        <f t="shared" si="0"/>
        <v>7</v>
      </c>
      <c r="D18" s="130" t="s">
        <v>198</v>
      </c>
      <c r="E18" s="130" t="s">
        <v>224</v>
      </c>
    </row>
    <row r="19" spans="1:5" ht="22.5" customHeight="1" x14ac:dyDescent="0.25">
      <c r="A19" s="127" t="s">
        <v>85</v>
      </c>
      <c r="B19" s="128" t="s">
        <v>225</v>
      </c>
      <c r="C19" s="129">
        <f t="shared" si="0"/>
        <v>7</v>
      </c>
      <c r="D19" s="130" t="s">
        <v>198</v>
      </c>
      <c r="E19" s="130" t="s">
        <v>224</v>
      </c>
    </row>
    <row r="20" spans="1:5" ht="22.5" customHeight="1" x14ac:dyDescent="0.25">
      <c r="A20" s="127" t="s">
        <v>87</v>
      </c>
      <c r="B20" s="128" t="s">
        <v>226</v>
      </c>
      <c r="C20" s="129">
        <f t="shared" si="0"/>
        <v>9</v>
      </c>
      <c r="D20" s="130" t="s">
        <v>198</v>
      </c>
      <c r="E20" s="130" t="s">
        <v>224</v>
      </c>
    </row>
    <row r="21" spans="1:5" ht="22.5" customHeight="1" x14ac:dyDescent="0.25">
      <c r="A21" s="127" t="s">
        <v>227</v>
      </c>
      <c r="B21" s="128" t="s">
        <v>228</v>
      </c>
      <c r="C21" s="129">
        <f t="shared" si="0"/>
        <v>8</v>
      </c>
      <c r="D21" s="130" t="s">
        <v>201</v>
      </c>
      <c r="E21" s="130" t="s">
        <v>224</v>
      </c>
    </row>
    <row r="22" spans="1:5" ht="22.5" customHeight="1" x14ac:dyDescent="0.25">
      <c r="A22" s="127" t="s">
        <v>229</v>
      </c>
      <c r="B22" s="128" t="s">
        <v>230</v>
      </c>
      <c r="C22" s="129">
        <f t="shared" si="0"/>
        <v>7</v>
      </c>
      <c r="D22" s="130" t="s">
        <v>198</v>
      </c>
      <c r="E22" s="130" t="s">
        <v>224</v>
      </c>
    </row>
    <row r="23" spans="1:5" ht="22.5" customHeight="1" x14ac:dyDescent="0.25">
      <c r="A23" s="127" t="s">
        <v>144</v>
      </c>
      <c r="B23" s="128" t="s">
        <v>231</v>
      </c>
      <c r="C23" s="129">
        <f t="shared" si="0"/>
        <v>8</v>
      </c>
      <c r="D23" s="130" t="s">
        <v>201</v>
      </c>
      <c r="E23" s="130" t="s">
        <v>224</v>
      </c>
    </row>
    <row r="24" spans="1:5" ht="22.5" customHeight="1" x14ac:dyDescent="0.25">
      <c r="A24" s="127" t="s">
        <v>145</v>
      </c>
      <c r="B24" s="128" t="s">
        <v>232</v>
      </c>
      <c r="C24" s="129">
        <f t="shared" si="0"/>
        <v>8</v>
      </c>
      <c r="D24" s="130" t="s">
        <v>201</v>
      </c>
      <c r="E24" s="130" t="s">
        <v>224</v>
      </c>
    </row>
    <row r="25" spans="1:5" ht="22.5" customHeight="1" x14ac:dyDescent="0.25">
      <c r="A25" s="127" t="s">
        <v>233</v>
      </c>
      <c r="B25" s="128" t="s">
        <v>234</v>
      </c>
      <c r="C25" s="129">
        <f t="shared" si="0"/>
        <v>7</v>
      </c>
      <c r="D25" s="130" t="s">
        <v>201</v>
      </c>
      <c r="E25" s="130" t="s">
        <v>224</v>
      </c>
    </row>
    <row r="26" spans="1:5" ht="22.5" customHeight="1" x14ac:dyDescent="0.25">
      <c r="A26" s="127" t="s">
        <v>235</v>
      </c>
      <c r="B26" s="128" t="s">
        <v>236</v>
      </c>
      <c r="C26" s="129">
        <f t="shared" si="0"/>
        <v>8</v>
      </c>
      <c r="D26" s="130" t="s">
        <v>201</v>
      </c>
      <c r="E26" s="130" t="s">
        <v>224</v>
      </c>
    </row>
    <row r="27" spans="1:5" ht="22.5" customHeight="1" x14ac:dyDescent="0.25">
      <c r="A27" s="127" t="s">
        <v>237</v>
      </c>
      <c r="B27" s="128" t="s">
        <v>238</v>
      </c>
      <c r="C27" s="129">
        <f t="shared" si="0"/>
        <v>14</v>
      </c>
      <c r="D27" s="130" t="s">
        <v>198</v>
      </c>
      <c r="E27" s="130" t="s">
        <v>224</v>
      </c>
    </row>
    <row r="28" spans="1:5" ht="22.5" customHeight="1" x14ac:dyDescent="0.25">
      <c r="A28" s="127" t="s">
        <v>147</v>
      </c>
      <c r="B28" s="128" t="s">
        <v>239</v>
      </c>
      <c r="C28" s="129">
        <f t="shared" si="0"/>
        <v>8</v>
      </c>
      <c r="D28" s="130" t="s">
        <v>213</v>
      </c>
      <c r="E28" s="130" t="s">
        <v>224</v>
      </c>
    </row>
    <row r="29" spans="1:5" ht="22.5" customHeight="1" x14ac:dyDescent="0.25">
      <c r="A29" s="127" t="s">
        <v>240</v>
      </c>
      <c r="B29" s="128" t="s">
        <v>241</v>
      </c>
      <c r="C29" s="129">
        <f t="shared" si="0"/>
        <v>9</v>
      </c>
      <c r="D29" s="130" t="s">
        <v>213</v>
      </c>
      <c r="E29" s="130" t="s">
        <v>224</v>
      </c>
    </row>
    <row r="30" spans="1:5" ht="22.5" customHeight="1" x14ac:dyDescent="0.25">
      <c r="A30" s="127" t="s">
        <v>148</v>
      </c>
      <c r="B30" s="128" t="s">
        <v>242</v>
      </c>
      <c r="C30" s="129">
        <f t="shared" si="0"/>
        <v>7</v>
      </c>
      <c r="D30" s="130" t="s">
        <v>213</v>
      </c>
      <c r="E30" s="130" t="s">
        <v>224</v>
      </c>
    </row>
    <row r="31" spans="1:5" ht="22.5" customHeight="1" x14ac:dyDescent="0.25">
      <c r="A31" s="127" t="s">
        <v>243</v>
      </c>
      <c r="B31" s="128" t="s">
        <v>244</v>
      </c>
      <c r="C31" s="129">
        <f t="shared" si="0"/>
        <v>10</v>
      </c>
      <c r="D31" s="130" t="s">
        <v>213</v>
      </c>
      <c r="E31" s="130" t="s">
        <v>224</v>
      </c>
    </row>
    <row r="32" spans="1:5" ht="22.5" customHeight="1" x14ac:dyDescent="0.25">
      <c r="A32" s="127" t="s">
        <v>150</v>
      </c>
      <c r="B32" s="128" t="s">
        <v>245</v>
      </c>
      <c r="C32" s="129">
        <f t="shared" si="0"/>
        <v>10</v>
      </c>
      <c r="D32" s="130" t="s">
        <v>201</v>
      </c>
      <c r="E32" s="130" t="s">
        <v>224</v>
      </c>
    </row>
    <row r="33" spans="1:5" ht="22.5" customHeight="1" x14ac:dyDescent="0.25">
      <c r="A33" s="127" t="s">
        <v>155</v>
      </c>
      <c r="B33" s="128" t="s">
        <v>246</v>
      </c>
      <c r="C33" s="129">
        <f t="shared" si="0"/>
        <v>7</v>
      </c>
      <c r="D33" s="130" t="s">
        <v>198</v>
      </c>
      <c r="E33" s="130" t="s">
        <v>247</v>
      </c>
    </row>
    <row r="34" spans="1:5" ht="22.5" customHeight="1" x14ac:dyDescent="0.25">
      <c r="A34" s="127" t="s">
        <v>156</v>
      </c>
      <c r="B34" s="128" t="s">
        <v>248</v>
      </c>
      <c r="C34" s="129">
        <f t="shared" si="0"/>
        <v>7</v>
      </c>
      <c r="D34" s="130" t="s">
        <v>198</v>
      </c>
      <c r="E34" s="130" t="s">
        <v>247</v>
      </c>
    </row>
    <row r="35" spans="1:5" ht="22.5" customHeight="1" x14ac:dyDescent="0.25">
      <c r="A35" s="127" t="s">
        <v>157</v>
      </c>
      <c r="B35" s="128" t="s">
        <v>249</v>
      </c>
      <c r="C35" s="129">
        <f t="shared" si="0"/>
        <v>10</v>
      </c>
      <c r="D35" s="130" t="s">
        <v>198</v>
      </c>
      <c r="E35" s="130" t="s">
        <v>247</v>
      </c>
    </row>
    <row r="36" spans="1:5" ht="22.5" customHeight="1" x14ac:dyDescent="0.25">
      <c r="A36" s="127" t="s">
        <v>158</v>
      </c>
      <c r="B36" s="128" t="s">
        <v>250</v>
      </c>
      <c r="C36" s="129">
        <f t="shared" si="0"/>
        <v>11</v>
      </c>
      <c r="D36" s="130" t="s">
        <v>198</v>
      </c>
      <c r="E36" s="130" t="s">
        <v>247</v>
      </c>
    </row>
    <row r="37" spans="1:5" ht="22.5" customHeight="1" x14ac:dyDescent="0.25">
      <c r="A37" s="127" t="s">
        <v>159</v>
      </c>
      <c r="B37" s="128" t="s">
        <v>251</v>
      </c>
      <c r="C37" s="129">
        <f t="shared" si="0"/>
        <v>8</v>
      </c>
      <c r="D37" s="130" t="s">
        <v>201</v>
      </c>
      <c r="E37" s="130" t="s">
        <v>247</v>
      </c>
    </row>
    <row r="38" spans="1:5" ht="22.5" customHeight="1" x14ac:dyDescent="0.25">
      <c r="A38" s="127" t="s">
        <v>252</v>
      </c>
      <c r="B38" s="128" t="s">
        <v>253</v>
      </c>
      <c r="C38" s="129">
        <f t="shared" si="0"/>
        <v>8</v>
      </c>
      <c r="D38" s="130" t="s">
        <v>201</v>
      </c>
      <c r="E38" s="130" t="s">
        <v>247</v>
      </c>
    </row>
    <row r="39" spans="1:5" ht="22.5" customHeight="1" x14ac:dyDescent="0.25">
      <c r="A39" s="127" t="s">
        <v>254</v>
      </c>
      <c r="B39" s="128" t="s">
        <v>255</v>
      </c>
      <c r="C39" s="129">
        <f t="shared" si="0"/>
        <v>7</v>
      </c>
      <c r="D39" s="130" t="s">
        <v>201</v>
      </c>
      <c r="E39" s="130" t="s">
        <v>247</v>
      </c>
    </row>
    <row r="40" spans="1:5" ht="22.5" customHeight="1" x14ac:dyDescent="0.25">
      <c r="A40" s="127" t="s">
        <v>160</v>
      </c>
      <c r="B40" s="128" t="s">
        <v>256</v>
      </c>
      <c r="C40" s="129">
        <f t="shared" si="0"/>
        <v>9</v>
      </c>
      <c r="D40" s="130" t="s">
        <v>198</v>
      </c>
      <c r="E40" s="130" t="s">
        <v>247</v>
      </c>
    </row>
    <row r="41" spans="1:5" ht="22.5" customHeight="1" x14ac:dyDescent="0.25">
      <c r="A41" s="127" t="s">
        <v>257</v>
      </c>
      <c r="B41" s="128" t="s">
        <v>258</v>
      </c>
      <c r="C41" s="129">
        <f t="shared" si="0"/>
        <v>7</v>
      </c>
      <c r="D41" s="130" t="s">
        <v>201</v>
      </c>
      <c r="E41" s="130" t="s">
        <v>247</v>
      </c>
    </row>
    <row r="42" spans="1:5" ht="22.5" customHeight="1" x14ac:dyDescent="0.25">
      <c r="A42" s="127" t="s">
        <v>162</v>
      </c>
      <c r="B42" s="128" t="s">
        <v>259</v>
      </c>
      <c r="C42" s="129">
        <f t="shared" si="0"/>
        <v>8</v>
      </c>
      <c r="D42" s="130" t="s">
        <v>201</v>
      </c>
      <c r="E42" s="130" t="s">
        <v>247</v>
      </c>
    </row>
    <row r="43" spans="1:5" ht="22.5" customHeight="1" x14ac:dyDescent="0.25">
      <c r="A43" s="127" t="s">
        <v>163</v>
      </c>
      <c r="B43" s="128" t="s">
        <v>260</v>
      </c>
      <c r="C43" s="129">
        <f t="shared" si="0"/>
        <v>11</v>
      </c>
      <c r="D43" s="130" t="s">
        <v>201</v>
      </c>
      <c r="E43" s="130" t="s">
        <v>247</v>
      </c>
    </row>
    <row r="44" spans="1:5" ht="22.5" customHeight="1" x14ac:dyDescent="0.25">
      <c r="A44" s="127" t="s">
        <v>261</v>
      </c>
      <c r="B44" s="128" t="s">
        <v>262</v>
      </c>
      <c r="C44" s="129">
        <f t="shared" si="0"/>
        <v>9</v>
      </c>
      <c r="D44" s="130" t="s">
        <v>201</v>
      </c>
      <c r="E44" s="130" t="s">
        <v>247</v>
      </c>
    </row>
    <row r="45" spans="1:5" ht="22.5" customHeight="1" x14ac:dyDescent="0.25">
      <c r="A45" s="127" t="s">
        <v>263</v>
      </c>
      <c r="B45" s="128" t="s">
        <v>264</v>
      </c>
      <c r="C45" s="129">
        <f t="shared" si="0"/>
        <v>6</v>
      </c>
      <c r="D45" s="130" t="s">
        <v>201</v>
      </c>
      <c r="E45" s="130" t="s">
        <v>247</v>
      </c>
    </row>
    <row r="46" spans="1:5" ht="22.5" customHeight="1" x14ac:dyDescent="0.25">
      <c r="A46" s="127" t="s">
        <v>165</v>
      </c>
      <c r="B46" s="128" t="s">
        <v>265</v>
      </c>
      <c r="C46" s="129">
        <f t="shared" si="0"/>
        <v>6</v>
      </c>
      <c r="D46" s="130" t="s">
        <v>213</v>
      </c>
      <c r="E46" s="130" t="s">
        <v>247</v>
      </c>
    </row>
    <row r="47" spans="1:5" ht="22.5" customHeight="1" x14ac:dyDescent="0.25">
      <c r="A47" s="127" t="s">
        <v>266</v>
      </c>
      <c r="B47" s="128" t="s">
        <v>267</v>
      </c>
      <c r="C47" s="129">
        <f t="shared" si="0"/>
        <v>8</v>
      </c>
      <c r="D47" s="130" t="s">
        <v>213</v>
      </c>
      <c r="E47" s="130" t="s">
        <v>247</v>
      </c>
    </row>
    <row r="48" spans="1:5" ht="22.5" customHeight="1" x14ac:dyDescent="0.25">
      <c r="A48" s="131" t="s">
        <v>171</v>
      </c>
      <c r="B48" s="132" t="s">
        <v>268</v>
      </c>
      <c r="C48" s="133">
        <f t="shared" si="0"/>
        <v>7</v>
      </c>
      <c r="D48" s="134" t="s">
        <v>198</v>
      </c>
      <c r="E48" s="135" t="s">
        <v>269</v>
      </c>
    </row>
    <row r="49" spans="1:5" ht="22.5" customHeight="1" x14ac:dyDescent="0.25">
      <c r="A49" s="131" t="s">
        <v>172</v>
      </c>
      <c r="B49" s="132" t="s">
        <v>270</v>
      </c>
      <c r="C49" s="133">
        <f t="shared" si="0"/>
        <v>7</v>
      </c>
      <c r="D49" s="134" t="s">
        <v>198</v>
      </c>
      <c r="E49" s="135" t="s">
        <v>269</v>
      </c>
    </row>
    <row r="50" spans="1:5" ht="22.5" customHeight="1" x14ac:dyDescent="0.25">
      <c r="A50" s="131" t="s">
        <v>173</v>
      </c>
      <c r="B50" s="132" t="s">
        <v>271</v>
      </c>
      <c r="C50" s="133">
        <f t="shared" si="0"/>
        <v>7</v>
      </c>
      <c r="D50" s="134" t="s">
        <v>198</v>
      </c>
      <c r="E50" s="135" t="s">
        <v>269</v>
      </c>
    </row>
    <row r="51" spans="1:5" ht="22.5" customHeight="1" x14ac:dyDescent="0.25">
      <c r="A51" s="131" t="s">
        <v>174</v>
      </c>
      <c r="B51" s="132" t="s">
        <v>272</v>
      </c>
      <c r="C51" s="133">
        <f t="shared" si="0"/>
        <v>9</v>
      </c>
      <c r="D51" s="134" t="s">
        <v>198</v>
      </c>
      <c r="E51" s="135" t="s">
        <v>269</v>
      </c>
    </row>
    <row r="52" spans="1:5" ht="22.5" customHeight="1" x14ac:dyDescent="0.25">
      <c r="A52" s="131" t="s">
        <v>175</v>
      </c>
      <c r="B52" s="132" t="s">
        <v>273</v>
      </c>
      <c r="C52" s="133">
        <f t="shared" si="0"/>
        <v>8</v>
      </c>
      <c r="D52" s="136" t="s">
        <v>201</v>
      </c>
      <c r="E52" s="135" t="s">
        <v>269</v>
      </c>
    </row>
    <row r="53" spans="1:5" ht="22.5" customHeight="1" x14ac:dyDescent="0.25">
      <c r="A53" s="131" t="s">
        <v>176</v>
      </c>
      <c r="B53" s="132" t="s">
        <v>274</v>
      </c>
      <c r="C53" s="133">
        <f t="shared" si="0"/>
        <v>11</v>
      </c>
      <c r="D53" s="134" t="s">
        <v>198</v>
      </c>
      <c r="E53" s="135" t="s">
        <v>269</v>
      </c>
    </row>
    <row r="54" spans="1:5" ht="22.5" customHeight="1" x14ac:dyDescent="0.25">
      <c r="A54" s="131" t="s">
        <v>177</v>
      </c>
      <c r="B54" s="132" t="s">
        <v>275</v>
      </c>
      <c r="C54" s="133">
        <f t="shared" si="0"/>
        <v>11</v>
      </c>
      <c r="D54" s="134" t="s">
        <v>198</v>
      </c>
      <c r="E54" s="135" t="s">
        <v>269</v>
      </c>
    </row>
    <row r="55" spans="1:5" ht="22.5" customHeight="1" x14ac:dyDescent="0.25">
      <c r="A55" s="131" t="s">
        <v>178</v>
      </c>
      <c r="B55" s="132" t="s">
        <v>276</v>
      </c>
      <c r="C55" s="133">
        <f t="shared" si="0"/>
        <v>10</v>
      </c>
      <c r="D55" s="134" t="s">
        <v>198</v>
      </c>
      <c r="E55" s="135" t="s">
        <v>269</v>
      </c>
    </row>
    <row r="56" spans="1:5" ht="22.5" customHeight="1" x14ac:dyDescent="0.25">
      <c r="A56" s="131" t="s">
        <v>277</v>
      </c>
      <c r="B56" s="132" t="s">
        <v>278</v>
      </c>
      <c r="C56" s="133">
        <f t="shared" si="0"/>
        <v>11</v>
      </c>
      <c r="D56" s="134" t="s">
        <v>198</v>
      </c>
      <c r="E56" s="135" t="s">
        <v>269</v>
      </c>
    </row>
    <row r="57" spans="1:5" ht="22.5" customHeight="1" x14ac:dyDescent="0.25">
      <c r="A57" s="131" t="s">
        <v>279</v>
      </c>
      <c r="B57" s="132" t="s">
        <v>280</v>
      </c>
      <c r="C57" s="133">
        <f t="shared" si="0"/>
        <v>7</v>
      </c>
      <c r="D57" s="136" t="s">
        <v>201</v>
      </c>
      <c r="E57" s="135" t="s">
        <v>269</v>
      </c>
    </row>
    <row r="58" spans="1:5" ht="22.5" customHeight="1" x14ac:dyDescent="0.25">
      <c r="A58" s="131" t="s">
        <v>281</v>
      </c>
      <c r="B58" s="132" t="s">
        <v>282</v>
      </c>
      <c r="C58" s="133">
        <f t="shared" si="0"/>
        <v>9</v>
      </c>
      <c r="D58" s="136" t="s">
        <v>201</v>
      </c>
      <c r="E58" s="135" t="s">
        <v>269</v>
      </c>
    </row>
    <row r="59" spans="1:5" ht="22.5" customHeight="1" x14ac:dyDescent="0.25">
      <c r="A59" s="131" t="s">
        <v>182</v>
      </c>
      <c r="B59" s="132" t="s">
        <v>283</v>
      </c>
      <c r="C59" s="133">
        <f t="shared" si="0"/>
        <v>8</v>
      </c>
      <c r="D59" s="136" t="s">
        <v>201</v>
      </c>
      <c r="E59" s="135" t="s">
        <v>269</v>
      </c>
    </row>
    <row r="60" spans="1:5" ht="22.5" customHeight="1" x14ac:dyDescent="0.25">
      <c r="A60" s="131" t="s">
        <v>183</v>
      </c>
      <c r="B60" s="132" t="s">
        <v>284</v>
      </c>
      <c r="C60" s="133">
        <f t="shared" si="0"/>
        <v>10</v>
      </c>
      <c r="D60" s="136" t="s">
        <v>201</v>
      </c>
      <c r="E60" s="135" t="s">
        <v>269</v>
      </c>
    </row>
    <row r="61" spans="1:5" ht="22.5" customHeight="1" x14ac:dyDescent="0.25">
      <c r="A61" s="131" t="s">
        <v>285</v>
      </c>
      <c r="B61" s="132" t="s">
        <v>286</v>
      </c>
      <c r="C61" s="133">
        <f t="shared" si="0"/>
        <v>11</v>
      </c>
      <c r="D61" s="135" t="s">
        <v>213</v>
      </c>
      <c r="E61" s="135" t="s">
        <v>269</v>
      </c>
    </row>
    <row r="62" spans="1:5" ht="22.5" customHeight="1" x14ac:dyDescent="0.25">
      <c r="A62" s="131" t="s">
        <v>185</v>
      </c>
      <c r="B62" s="132" t="s">
        <v>287</v>
      </c>
      <c r="C62" s="133">
        <f t="shared" si="0"/>
        <v>13</v>
      </c>
      <c r="D62" s="136" t="s">
        <v>201</v>
      </c>
      <c r="E62" s="135" t="s">
        <v>269</v>
      </c>
    </row>
  </sheetData>
  <mergeCells count="1">
    <mergeCell ref="A1:E1"/>
  </mergeCells>
  <conditionalFormatting sqref="D3:D47">
    <cfRule type="cellIs" dxfId="11" priority="4" operator="equal">
      <formula>"Tier 3"</formula>
    </cfRule>
    <cfRule type="cellIs" dxfId="10" priority="5" operator="equal">
      <formula>"Tier 2"</formula>
    </cfRule>
    <cfRule type="cellIs" dxfId="9" priority="6" operator="equal">
      <formula>"Tier 1"</formula>
    </cfRule>
  </conditionalFormatting>
  <conditionalFormatting sqref="E3:E47">
    <cfRule type="cellIs" dxfId="8" priority="1" operator="equal">
      <formula>"ITDM"</formula>
    </cfRule>
    <cfRule type="cellIs" dxfId="7" priority="2" operator="equal">
      <formula>"TPM"</formula>
    </cfRule>
    <cfRule type="cellIs" dxfId="6" priority="3" operator="equal">
      <formula>"AI"</formula>
    </cfRule>
  </conditionalFormatting>
  <pageMargins left="0.7" right="0.7" top="0.75" bottom="0.75" header="0.3" footer="0.3"/>
  <pageSetup orientation="portrait"/>
  <headerFooter>
    <oddHeader>&amp;L&amp;C&amp;R</oddHeader>
    <oddFooter>&amp;L&amp;C&amp;R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60668-28D8-BF44-D548-2423621C70A9}">
  <dimension ref="A1:E38"/>
  <sheetViews>
    <sheetView workbookViewId="0">
      <pane ySplit="3" topLeftCell="A37" activePane="bottomLeft" state="frozen"/>
      <selection pane="bottomLeft" sqref="A1:D1"/>
    </sheetView>
  </sheetViews>
  <sheetFormatPr defaultColWidth="8.85546875" defaultRowHeight="15" customHeight="1" x14ac:dyDescent="0.25"/>
  <cols>
    <col min="1" max="1" width="28.140625" customWidth="1"/>
    <col min="2" max="2" width="52.140625" customWidth="1"/>
    <col min="3" max="3" width="15.140625" customWidth="1"/>
    <col min="4" max="4" width="72.28515625" customWidth="1"/>
    <col min="5" max="5" width="14.140625" customWidth="1"/>
  </cols>
  <sheetData>
    <row r="1" spans="1:4" ht="24" customHeight="1" x14ac:dyDescent="0.25">
      <c r="A1" s="177" t="s">
        <v>288</v>
      </c>
      <c r="B1" s="165"/>
      <c r="C1" s="165"/>
      <c r="D1" s="165"/>
    </row>
    <row r="3" spans="1:4" ht="19.5" customHeight="1" x14ac:dyDescent="0.25">
      <c r="A3" s="137" t="s">
        <v>289</v>
      </c>
      <c r="B3" s="137" t="s">
        <v>290</v>
      </c>
      <c r="C3" s="137" t="s">
        <v>291</v>
      </c>
      <c r="D3" s="137" t="s">
        <v>110</v>
      </c>
    </row>
    <row r="4" spans="1:4" ht="15" customHeight="1" x14ac:dyDescent="0.25">
      <c r="A4" s="138" t="s">
        <v>292</v>
      </c>
      <c r="B4" s="139">
        <f ca="1">AI_SCORE!D26</f>
        <v>17</v>
      </c>
      <c r="C4" s="140" t="str">
        <f t="shared" ref="C4:C7" ca="1" si="0">IF(B4&gt;=32,"Strong Match",IF(B4&gt;=25,"Good Match",IF(B4&gt;=18,"Moderate Match","Weak Match")))</f>
        <v>Weak Match</v>
      </c>
      <c r="D4" s="8" t="s">
        <v>294</v>
      </c>
    </row>
    <row r="5" spans="1:4" ht="15" customHeight="1" x14ac:dyDescent="0.25">
      <c r="A5" s="138" t="s">
        <v>62</v>
      </c>
      <c r="B5" s="139">
        <f ca="1">TPM_SCORE!D26</f>
        <v>22</v>
      </c>
      <c r="C5" s="140" t="str">
        <f t="shared" ca="1" si="0"/>
        <v>Moderate Match</v>
      </c>
      <c r="D5" s="8" t="s">
        <v>296</v>
      </c>
    </row>
    <row r="6" spans="1:4" ht="15" customHeight="1" x14ac:dyDescent="0.25">
      <c r="A6" s="138" t="s">
        <v>43</v>
      </c>
      <c r="B6" s="139">
        <f ca="1">ITDM_SCORE!D26</f>
        <v>9</v>
      </c>
      <c r="C6" s="140" t="str">
        <f t="shared" ca="1" si="0"/>
        <v>Weak Match</v>
      </c>
      <c r="D6" s="8" t="s">
        <v>297</v>
      </c>
    </row>
    <row r="7" spans="1:4" ht="15" customHeight="1" x14ac:dyDescent="0.25">
      <c r="A7" s="138" t="s">
        <v>44</v>
      </c>
      <c r="B7" s="139">
        <f ca="1">PM_SCORE!D26</f>
        <v>16</v>
      </c>
      <c r="C7" s="140" t="str">
        <f t="shared" ca="1" si="0"/>
        <v>Weak Match</v>
      </c>
      <c r="D7" t="s">
        <v>298</v>
      </c>
    </row>
    <row r="8" spans="1:4" ht="22.5" customHeight="1" x14ac:dyDescent="0.25">
      <c r="A8" s="178" t="s">
        <v>299</v>
      </c>
      <c r="B8" s="165"/>
      <c r="C8" s="165"/>
      <c r="D8" s="165"/>
    </row>
    <row r="9" spans="1:4" ht="26.25" customHeight="1" x14ac:dyDescent="0.25">
      <c r="A9" s="216" t="s">
        <v>299</v>
      </c>
      <c r="B9" s="165"/>
      <c r="C9" s="165"/>
      <c r="D9" s="165"/>
    </row>
    <row r="10" spans="1:4" ht="27" customHeight="1" x14ac:dyDescent="0.25">
      <c r="A10" s="141" t="str">
        <f ca="1">INDEX(A4:A7,MATCH(MAX(B4:B7),B4:B7,0))</f>
        <v>Technical Program Manager</v>
      </c>
    </row>
    <row r="11" spans="1:4" ht="18.75" customHeight="1" x14ac:dyDescent="0.25">
      <c r="A11" s="217" t="s">
        <v>300</v>
      </c>
      <c r="B11" s="165"/>
      <c r="C11" s="165"/>
      <c r="D11" s="165"/>
    </row>
    <row r="12" spans="1:4" ht="22.5" customHeight="1" x14ac:dyDescent="0.25">
      <c r="A12" s="218" t="s">
        <v>300</v>
      </c>
      <c r="B12" s="165"/>
      <c r="C12" s="165"/>
      <c r="D12" s="165"/>
    </row>
    <row r="13" spans="1:4" ht="15" customHeight="1" x14ac:dyDescent="0.25">
      <c r="A13" t="str">
        <f ca="1">IF(A10="AI Transformation Manager","Use: AI Transformation Manager Cover Letter - https://www.genspark.ai/api/files/s/lkUPzCNe",IF(A10="Technical Program Manager","Use: Technical Program Manager Cover Letter - https://www.genspark.ai/api/files/s/PxGCoBuk",IF(A10="IT Delivery Manager","Use: IT Delivery Manager Cover Letter - https://www.genspark.ai/api/files/s/lPnFfxiB","Use: Product Manager Cover Letter - (Template TBD)")))</f>
        <v>Use: Technical Program Manager Cover Letter - https://www.genspark.ai/api/files/s/PxGCoBuk</v>
      </c>
    </row>
    <row r="14" spans="1:4" ht="15" customHeight="1" x14ac:dyDescent="0.25">
      <c r="A14" s="195" t="s">
        <v>301</v>
      </c>
      <c r="B14" s="165"/>
      <c r="C14" s="165"/>
      <c r="D14" s="165"/>
    </row>
    <row r="15" spans="1:4" ht="15" customHeight="1" x14ac:dyDescent="0.25">
      <c r="A15" s="142" t="s">
        <v>301</v>
      </c>
      <c r="B15" s="219" t="s">
        <v>302</v>
      </c>
      <c r="C15" s="165"/>
      <c r="D15" s="165"/>
    </row>
    <row r="16" spans="1:4" ht="15" customHeight="1" x14ac:dyDescent="0.25">
      <c r="A16" s="143" t="s">
        <v>303</v>
      </c>
      <c r="B16" s="219" t="s">
        <v>302</v>
      </c>
      <c r="C16" s="165"/>
      <c r="D16" s="165"/>
    </row>
    <row r="17" spans="1:4" ht="15" customHeight="1" x14ac:dyDescent="0.25">
      <c r="A17" s="144" t="s">
        <v>304</v>
      </c>
      <c r="B17" s="219" t="s">
        <v>305</v>
      </c>
      <c r="C17" s="165"/>
      <c r="D17" s="165"/>
    </row>
    <row r="18" spans="1:4" ht="15" customHeight="1" x14ac:dyDescent="0.25">
      <c r="A18" s="145" t="s">
        <v>295</v>
      </c>
      <c r="B18" s="219" t="s">
        <v>306</v>
      </c>
      <c r="C18" s="165"/>
      <c r="D18" s="165"/>
    </row>
    <row r="19" spans="1:4" ht="15" customHeight="1" x14ac:dyDescent="0.25">
      <c r="A19" t="s">
        <v>293</v>
      </c>
      <c r="B19" t="s">
        <v>307</v>
      </c>
    </row>
    <row r="20" spans="1:4" ht="21" customHeight="1" x14ac:dyDescent="0.25">
      <c r="A20" s="217" t="s">
        <v>308</v>
      </c>
      <c r="B20" s="165"/>
      <c r="C20" s="165"/>
      <c r="D20" s="165"/>
    </row>
    <row r="21" spans="1:4" ht="15.75" customHeight="1" x14ac:dyDescent="0.25">
      <c r="A21" s="142" t="s">
        <v>308</v>
      </c>
      <c r="B21" s="220" t="s">
        <v>309</v>
      </c>
      <c r="C21" s="165"/>
      <c r="D21" s="165"/>
    </row>
    <row r="22" spans="1:4" ht="15.75" customHeight="1" x14ac:dyDescent="0.25">
      <c r="A22" s="146" t="s">
        <v>310</v>
      </c>
      <c r="B22" s="220" t="s">
        <v>311</v>
      </c>
      <c r="C22" s="165"/>
      <c r="D22" s="165"/>
    </row>
    <row r="23" spans="1:4" ht="22.5" customHeight="1" x14ac:dyDescent="0.25">
      <c r="A23" t="s">
        <v>312</v>
      </c>
      <c r="B23" s="165" t="s">
        <v>313</v>
      </c>
      <c r="C23" s="165"/>
      <c r="D23" s="165"/>
    </row>
    <row r="24" spans="1:4" ht="22.5" customHeight="1" x14ac:dyDescent="0.25">
      <c r="B24" s="165"/>
      <c r="C24" s="165"/>
      <c r="D24" s="165"/>
    </row>
    <row r="25" spans="1:4" ht="15" customHeight="1" x14ac:dyDescent="0.25">
      <c r="A25" s="146" t="s">
        <v>314</v>
      </c>
      <c r="B25" s="221" t="str">
        <f t="shared" ref="B25:B26" si="1">A9&amp;" - matching cover letter"</f>
        <v>BEST FIT RESUME - matching cover letter</v>
      </c>
      <c r="C25" s="165"/>
      <c r="D25" s="165"/>
    </row>
    <row r="26" spans="1:4" ht="15.75" customHeight="1" x14ac:dyDescent="0.25">
      <c r="A26" s="146" t="s">
        <v>314</v>
      </c>
      <c r="B26" s="220" t="str">
        <f t="shared" ca="1" si="1"/>
        <v>Technical Program Manager - matching cover letter</v>
      </c>
      <c r="C26" s="165"/>
      <c r="D26" s="165"/>
    </row>
    <row r="27" spans="1:4" ht="22.5" customHeight="1" x14ac:dyDescent="0.25">
      <c r="A27" t="s">
        <v>315</v>
      </c>
      <c r="B27" s="165" t="str">
        <f ca="1">A10&amp;" interview prep: align your strongest stories to the top-scoring keywords on the matching scoring sheet. Prepare STAR examples for change management, governance, and one role-specific theme."</f>
        <v>Technical Program Manager interview prep: align your strongest stories to the top-scoring keywords on the matching scoring sheet. Prepare STAR examples for change management, governance, and one role-specific theme.</v>
      </c>
      <c r="C27" s="165"/>
      <c r="D27" s="165"/>
    </row>
    <row r="28" spans="1:4" ht="22.5" customHeight="1" x14ac:dyDescent="0.25">
      <c r="B28" s="165"/>
      <c r="C28" s="165"/>
      <c r="D28" s="165"/>
    </row>
    <row r="30" spans="1:4" ht="19.5" customHeight="1" x14ac:dyDescent="0.25">
      <c r="A30" s="222" t="s">
        <v>316</v>
      </c>
      <c r="B30" s="165"/>
      <c r="C30" s="165"/>
      <c r="D30" s="165"/>
    </row>
    <row r="33" spans="1:5" ht="15" customHeight="1" x14ac:dyDescent="0.25">
      <c r="A33" s="41" t="s">
        <v>317</v>
      </c>
      <c r="B33" s="41" t="s">
        <v>41</v>
      </c>
      <c r="C33" s="41" t="s">
        <v>318</v>
      </c>
      <c r="D33" s="41" t="s">
        <v>319</v>
      </c>
      <c r="E33" s="41" t="s">
        <v>44</v>
      </c>
    </row>
    <row r="34" spans="1:5" ht="15" customHeight="1" x14ac:dyDescent="0.25">
      <c r="A34" t="s">
        <v>320</v>
      </c>
      <c r="B34">
        <f ca="1">AI_SCORE!D19</f>
        <v>12</v>
      </c>
      <c r="C34">
        <f ca="1">TPM_SCORE!D19</f>
        <v>16</v>
      </c>
      <c r="D34">
        <f ca="1">ITDM_SCORE!D19</f>
        <v>6</v>
      </c>
      <c r="E34" s="147">
        <f ca="1">PM_SCORE!D19</f>
        <v>12</v>
      </c>
    </row>
    <row r="35" spans="1:5" ht="15" customHeight="1" x14ac:dyDescent="0.25">
      <c r="A35" t="s">
        <v>321</v>
      </c>
      <c r="B35">
        <f>AI_SCORE!D22</f>
        <v>1</v>
      </c>
      <c r="C35">
        <f>TPM_SCORE!D22</f>
        <v>3</v>
      </c>
      <c r="D35">
        <f>ITDM_SCORE!D22</f>
        <v>1</v>
      </c>
      <c r="E35" s="147">
        <f>PM_SCORE!D22</f>
        <v>3</v>
      </c>
    </row>
    <row r="36" spans="1:5" ht="15" customHeight="1" x14ac:dyDescent="0.25">
      <c r="A36" t="s">
        <v>322</v>
      </c>
      <c r="B36">
        <f>AI_SCORE!D23</f>
        <v>4</v>
      </c>
      <c r="C36">
        <f>TPM_SCORE!D23</f>
        <v>3</v>
      </c>
      <c r="D36">
        <f>ITDM_SCORE!D23</f>
        <v>2</v>
      </c>
      <c r="E36" s="147">
        <f>PM_SCORE!D23</f>
        <v>1</v>
      </c>
    </row>
    <row r="37" spans="1:5" ht="15" customHeight="1" x14ac:dyDescent="0.25">
      <c r="A37" t="s">
        <v>323</v>
      </c>
      <c r="B37">
        <f>5-AI_SCORE!D24</f>
        <v>5</v>
      </c>
      <c r="C37">
        <f>5-TPM_SCORE!D24</f>
        <v>5</v>
      </c>
      <c r="D37">
        <f>5-ITDM_SCORE!D24</f>
        <v>5</v>
      </c>
      <c r="E37" s="147">
        <f>5-PM_SCORE!D24</f>
        <v>5</v>
      </c>
    </row>
    <row r="38" spans="1:5" ht="15" customHeight="1" x14ac:dyDescent="0.25">
      <c r="A38" t="s">
        <v>290</v>
      </c>
      <c r="B38">
        <f ca="1">AI_SCORE!D26</f>
        <v>17</v>
      </c>
      <c r="C38">
        <f ca="1">TPM_SCORE!D26</f>
        <v>22</v>
      </c>
      <c r="D38">
        <f ca="1">ITDM_SCORE!D26</f>
        <v>9</v>
      </c>
      <c r="E38" s="147">
        <f ca="1">PM_SCORE!D26</f>
        <v>16</v>
      </c>
    </row>
  </sheetData>
  <mergeCells count="16">
    <mergeCell ref="A30:D30"/>
    <mergeCell ref="A20:D20"/>
    <mergeCell ref="B21:D21"/>
    <mergeCell ref="B22:D24"/>
    <mergeCell ref="B25:D25"/>
    <mergeCell ref="B26:D28"/>
    <mergeCell ref="A14:D14"/>
    <mergeCell ref="B15:D15"/>
    <mergeCell ref="B16:D16"/>
    <mergeCell ref="B17:D17"/>
    <mergeCell ref="B18:D18"/>
    <mergeCell ref="A1:D1"/>
    <mergeCell ref="A8:D8"/>
    <mergeCell ref="A9:D9"/>
    <mergeCell ref="A11:D11"/>
    <mergeCell ref="A12:D12"/>
  </mergeCells>
  <conditionalFormatting sqref="C4:C6">
    <cfRule type="containsText" dxfId="5" priority="1" operator="containsText" text="Weak Match">
      <formula>NOT(ISERROR(SEARCH("Weak Match",C4)))</formula>
    </cfRule>
    <cfRule type="containsText" dxfId="4" priority="2" operator="containsText" text="Moderate Match">
      <formula>NOT(ISERROR(SEARCH("Moderate Match",C4)))</formula>
    </cfRule>
    <cfRule type="containsText" dxfId="3" priority="3" operator="containsText" text="Good Match">
      <formula>NOT(ISERROR(SEARCH("Good Match",C4)))</formula>
    </cfRule>
    <cfRule type="containsText" dxfId="2" priority="4" operator="containsText" text="Strong Match">
      <formula>NOT(ISERROR(SEARCH("Strong Match",C4)))</formula>
    </cfRule>
  </conditionalFormatting>
  <pageMargins left="0.7" right="0.7" top="0.75" bottom="0.75" header="0.3" footer="0.3"/>
  <pageSetup orientation="portrait"/>
  <headerFooter>
    <oddHeader>&amp;L&amp;C&amp;R</oddHeader>
    <oddFooter>&amp;L&amp;C&amp;R</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8854-FA18-2868-2D38-B9DC055446C8}">
  <dimension ref="A1:E65"/>
  <sheetViews>
    <sheetView workbookViewId="0">
      <pane xSplit="1" ySplit="3" topLeftCell="B4" activePane="bottomRight" state="frozen"/>
      <selection pane="topRight" activeCell="B1" sqref="B1"/>
      <selection pane="bottomLeft" activeCell="A4" sqref="A4"/>
      <selection pane="bottomRight" activeCell="H6" sqref="H6"/>
    </sheetView>
  </sheetViews>
  <sheetFormatPr defaultColWidth="8.85546875" defaultRowHeight="15" customHeight="1" x14ac:dyDescent="0.25"/>
  <cols>
    <col min="1" max="1" width="11.42578125" customWidth="1"/>
    <col min="2" max="2" width="34.28515625" customWidth="1"/>
    <col min="3" max="3" width="97.140625" customWidth="1"/>
    <col min="4" max="4" width="15.7109375" customWidth="1"/>
    <col min="5" max="5" width="20" customWidth="1"/>
  </cols>
  <sheetData>
    <row r="1" spans="1:5" ht="27" customHeight="1" x14ac:dyDescent="0.25">
      <c r="A1" s="207" t="s">
        <v>324</v>
      </c>
      <c r="B1" s="165"/>
      <c r="C1" s="165"/>
      <c r="D1" s="165"/>
      <c r="E1" s="165"/>
    </row>
    <row r="2" spans="1:5" ht="19.5" customHeight="1" x14ac:dyDescent="0.25">
      <c r="A2" s="223" t="str">
        <f>IF(LEN(JD_INPUT!B10)&lt;50,"⏳ Paste a JD in JD_INPUT!B10 — recommended bullets will highlight below in green","✅ JD analyzed — GREEN bullets below match your JD's keywords → copy them straight into your resume")</f>
        <v>✅ JD analyzed — GREEN bullets below match your JD's keywords → copy them straight into your resume</v>
      </c>
      <c r="B2" s="165"/>
      <c r="C2" s="165"/>
      <c r="D2" s="165"/>
      <c r="E2" s="165"/>
    </row>
    <row r="3" spans="1:5" ht="22.5" customHeight="1" x14ac:dyDescent="0.25">
      <c r="A3" s="148" t="s">
        <v>67</v>
      </c>
      <c r="B3" s="148" t="s">
        <v>325</v>
      </c>
      <c r="C3" s="148" t="s">
        <v>326</v>
      </c>
      <c r="D3" s="148" t="s">
        <v>327</v>
      </c>
      <c r="E3" s="148" t="s">
        <v>328</v>
      </c>
    </row>
    <row r="4" spans="1:5" ht="31.5" customHeight="1" x14ac:dyDescent="0.25">
      <c r="A4" s="149" t="s">
        <v>329</v>
      </c>
      <c r="B4" s="150" t="s">
        <v>112</v>
      </c>
      <c r="C4" s="151" t="s">
        <v>330</v>
      </c>
      <c r="D4" s="152" t="str">
        <f ca="1">IF(AI_SCORE!C4&gt;=1,"✅ YES","❌ No")</f>
        <v>❌ No</v>
      </c>
      <c r="E4" s="153" t="str">
        <f ca="1">IF(AI_SCORE!C4&gt;=1,"🟢 USE THIS","—")</f>
        <v>—</v>
      </c>
    </row>
    <row r="5" spans="1:5" ht="31.5" customHeight="1" x14ac:dyDescent="0.25">
      <c r="A5" s="149" t="s">
        <v>329</v>
      </c>
      <c r="B5" s="150" t="s">
        <v>113</v>
      </c>
      <c r="C5" s="151" t="s">
        <v>331</v>
      </c>
      <c r="D5" s="152" t="str">
        <f ca="1">IF(AI_SCORE!C5&gt;=1,"✅ YES","❌ No")</f>
        <v>❌ No</v>
      </c>
      <c r="E5" s="153" t="str">
        <f ca="1">IF(AI_SCORE!C5&gt;=1,"🟢 USE THIS","—")</f>
        <v>—</v>
      </c>
    </row>
    <row r="6" spans="1:5" ht="31.5" customHeight="1" x14ac:dyDescent="0.25">
      <c r="A6" s="149" t="s">
        <v>329</v>
      </c>
      <c r="B6" s="150" t="s">
        <v>114</v>
      </c>
      <c r="C6" s="151" t="s">
        <v>332</v>
      </c>
      <c r="D6" s="152" t="str">
        <f ca="1">IF(AI_SCORE!C6&gt;=1,"✅ YES","❌ No")</f>
        <v>❌ No</v>
      </c>
      <c r="E6" s="153" t="str">
        <f ca="1">IF(AI_SCORE!C6&gt;=1,"🟢 USE THIS","—")</f>
        <v>—</v>
      </c>
    </row>
    <row r="7" spans="1:5" ht="31.5" customHeight="1" x14ac:dyDescent="0.25">
      <c r="A7" s="149" t="s">
        <v>329</v>
      </c>
      <c r="B7" s="150" t="s">
        <v>115</v>
      </c>
      <c r="C7" s="151" t="s">
        <v>333</v>
      </c>
      <c r="D7" s="152" t="str">
        <f ca="1">IF(AI_SCORE!C7&gt;=1,"✅ YES","❌ No")</f>
        <v>❌ No</v>
      </c>
      <c r="E7" s="153" t="str">
        <f ca="1">IF(AI_SCORE!C7&gt;=1,"🟢 USE THIS","—")</f>
        <v>—</v>
      </c>
    </row>
    <row r="8" spans="1:5" ht="31.5" customHeight="1" x14ac:dyDescent="0.25">
      <c r="A8" s="149" t="s">
        <v>329</v>
      </c>
      <c r="B8" s="150" t="s">
        <v>116</v>
      </c>
      <c r="C8" s="151" t="s">
        <v>334</v>
      </c>
      <c r="D8" s="152" t="str">
        <f ca="1">IF(AI_SCORE!C8&gt;=1,"✅ YES","❌ No")</f>
        <v>❌ No</v>
      </c>
      <c r="E8" s="153" t="str">
        <f ca="1">IF(AI_SCORE!C8&gt;=1,"🟢 USE THIS","—")</f>
        <v>—</v>
      </c>
    </row>
    <row r="9" spans="1:5" ht="31.5" customHeight="1" x14ac:dyDescent="0.25">
      <c r="A9" s="149" t="s">
        <v>329</v>
      </c>
      <c r="B9" s="150" t="s">
        <v>117</v>
      </c>
      <c r="C9" s="151" t="s">
        <v>335</v>
      </c>
      <c r="D9" s="152" t="str">
        <f ca="1">IF(AI_SCORE!C9&gt;=1,"✅ YES","❌ No")</f>
        <v>❌ No</v>
      </c>
      <c r="E9" s="153" t="str">
        <f ca="1">IF(AI_SCORE!C9&gt;=1,"🟢 USE THIS","—")</f>
        <v>—</v>
      </c>
    </row>
    <row r="10" spans="1:5" ht="31.5" customHeight="1" x14ac:dyDescent="0.25">
      <c r="A10" s="149" t="s">
        <v>329</v>
      </c>
      <c r="B10" s="150" t="s">
        <v>118</v>
      </c>
      <c r="C10" s="151" t="s">
        <v>336</v>
      </c>
      <c r="D10" s="152" t="str">
        <f ca="1">IF(AI_SCORE!C10&gt;=1,"✅ YES","❌ No")</f>
        <v>❌ No</v>
      </c>
      <c r="E10" s="153" t="str">
        <f ca="1">IF(AI_SCORE!C10&gt;=1,"🟢 USE THIS","—")</f>
        <v>—</v>
      </c>
    </row>
    <row r="11" spans="1:5" ht="31.5" customHeight="1" x14ac:dyDescent="0.25">
      <c r="A11" s="149" t="s">
        <v>329</v>
      </c>
      <c r="B11" s="150" t="s">
        <v>89</v>
      </c>
      <c r="C11" s="151" t="s">
        <v>337</v>
      </c>
      <c r="D11" s="152" t="str">
        <f ca="1">IF(AI_SCORE!C11&gt;=1,"✅ YES","❌ No")</f>
        <v>✅ YES</v>
      </c>
      <c r="E11" s="153" t="str">
        <f ca="1">IF(AI_SCORE!C11&gt;=1,"🟢 USE THIS","—")</f>
        <v>🟢 USE THIS</v>
      </c>
    </row>
    <row r="12" spans="1:5" ht="31.5" customHeight="1" x14ac:dyDescent="0.25">
      <c r="A12" s="149" t="s">
        <v>329</v>
      </c>
      <c r="B12" s="150" t="s">
        <v>119</v>
      </c>
      <c r="C12" s="151" t="s">
        <v>338</v>
      </c>
      <c r="D12" s="152" t="str">
        <f ca="1">IF(AI_SCORE!C12&gt;=1,"✅ YES","❌ No")</f>
        <v>✅ YES</v>
      </c>
      <c r="E12" s="153" t="str">
        <f ca="1">IF(AI_SCORE!C12&gt;=1,"🟢 USE THIS","—")</f>
        <v>🟢 USE THIS</v>
      </c>
    </row>
    <row r="13" spans="1:5" ht="31.5" customHeight="1" x14ac:dyDescent="0.25">
      <c r="A13" s="149" t="s">
        <v>329</v>
      </c>
      <c r="B13" s="150" t="s">
        <v>120</v>
      </c>
      <c r="C13" s="151" t="s">
        <v>339</v>
      </c>
      <c r="D13" s="152" t="str">
        <f ca="1">IF(AI_SCORE!C13&gt;=1,"✅ YES","❌ No")</f>
        <v>❌ No</v>
      </c>
      <c r="E13" s="153" t="str">
        <f ca="1">IF(AI_SCORE!C13&gt;=1,"🟢 USE THIS","—")</f>
        <v>—</v>
      </c>
    </row>
    <row r="14" spans="1:5" ht="31.5" customHeight="1" x14ac:dyDescent="0.25">
      <c r="A14" s="149" t="s">
        <v>329</v>
      </c>
      <c r="B14" s="150" t="s">
        <v>340</v>
      </c>
      <c r="C14" s="151" t="s">
        <v>341</v>
      </c>
      <c r="D14" s="152" t="str">
        <f ca="1">IF(AI_SCORE!C14&gt;=1,"✅ YES","❌ No")</f>
        <v>❌ No</v>
      </c>
      <c r="E14" s="153" t="str">
        <f ca="1">IF(AI_SCORE!C14&gt;=1,"🟢 USE THIS","—")</f>
        <v>—</v>
      </c>
    </row>
    <row r="15" spans="1:5" ht="31.5" customHeight="1" x14ac:dyDescent="0.25">
      <c r="A15" s="149" t="s">
        <v>329</v>
      </c>
      <c r="B15" s="150" t="s">
        <v>122</v>
      </c>
      <c r="C15" s="151" t="s">
        <v>342</v>
      </c>
      <c r="D15" s="152" t="str">
        <f ca="1">IF(AI_SCORE!C15&gt;=1,"✅ YES","❌ No")</f>
        <v>❌ No</v>
      </c>
      <c r="E15" s="153" t="str">
        <f ca="1">IF(AI_SCORE!C15&gt;=1,"🟢 USE THIS","—")</f>
        <v>—</v>
      </c>
    </row>
    <row r="16" spans="1:5" ht="31.5" customHeight="1" x14ac:dyDescent="0.25">
      <c r="A16" s="149" t="s">
        <v>329</v>
      </c>
      <c r="B16" s="150" t="s">
        <v>123</v>
      </c>
      <c r="C16" s="151" t="s">
        <v>343</v>
      </c>
      <c r="D16" s="152" t="str">
        <f ca="1">IF(AI_SCORE!C16&gt;=1,"✅ YES","❌ No")</f>
        <v>✅ YES</v>
      </c>
      <c r="E16" s="153" t="str">
        <f ca="1">IF(AI_SCORE!C16&gt;=1,"🟢 USE THIS","—")</f>
        <v>🟢 USE THIS</v>
      </c>
    </row>
    <row r="17" spans="1:5" ht="31.5" customHeight="1" x14ac:dyDescent="0.25">
      <c r="A17" s="149" t="s">
        <v>329</v>
      </c>
      <c r="B17" s="150" t="s">
        <v>124</v>
      </c>
      <c r="C17" s="151" t="s">
        <v>344</v>
      </c>
      <c r="D17" s="152" t="str">
        <f ca="1">IF(AI_SCORE!C17&gt;=1,"✅ YES","❌ No")</f>
        <v>✅ YES</v>
      </c>
      <c r="E17" s="153" t="str">
        <f ca="1">IF(AI_SCORE!C17&gt;=1,"🟢 USE THIS","—")</f>
        <v>🟢 USE THIS</v>
      </c>
    </row>
    <row r="18" spans="1:5" ht="31.5" customHeight="1" x14ac:dyDescent="0.25">
      <c r="A18" s="149" t="s">
        <v>329</v>
      </c>
      <c r="B18" s="150" t="s">
        <v>125</v>
      </c>
      <c r="C18" s="151" t="s">
        <v>345</v>
      </c>
      <c r="D18" s="152" t="str">
        <f ca="1">IF(AI_SCORE!C18&gt;=1,"✅ YES","❌ No")</f>
        <v>✅ YES</v>
      </c>
      <c r="E18" s="153" t="str">
        <f ca="1">IF(AI_SCORE!C18&gt;=1,"🟢 USE THIS","—")</f>
        <v>🟢 USE THIS</v>
      </c>
    </row>
    <row r="19" spans="1:5" ht="31.5" customHeight="1" x14ac:dyDescent="0.25">
      <c r="A19" s="154" t="s">
        <v>346</v>
      </c>
      <c r="B19" s="150" t="s">
        <v>83</v>
      </c>
      <c r="C19" s="151" t="s">
        <v>347</v>
      </c>
      <c r="D19" s="152" t="str">
        <f ca="1">IF(TPM_SCORE!C4&gt;=1,"✅ YES","❌ No")</f>
        <v>❌ No</v>
      </c>
      <c r="E19" s="153" t="str">
        <f ca="1">IF(TPM_SCORE!C4&gt;=1,"🟢 USE THIS","—")</f>
        <v>—</v>
      </c>
    </row>
    <row r="20" spans="1:5" ht="31.5" customHeight="1" x14ac:dyDescent="0.25">
      <c r="A20" s="154" t="s">
        <v>346</v>
      </c>
      <c r="B20" s="150" t="s">
        <v>85</v>
      </c>
      <c r="C20" s="151" t="s">
        <v>348</v>
      </c>
      <c r="D20" s="152" t="str">
        <f ca="1">IF(TPM_SCORE!C5&gt;=1,"✅ YES","❌ No")</f>
        <v>❌ No</v>
      </c>
      <c r="E20" s="153" t="str">
        <f ca="1">IF(TPM_SCORE!C5&gt;=1,"🟢 USE THIS","—")</f>
        <v>—</v>
      </c>
    </row>
    <row r="21" spans="1:5" ht="31.5" customHeight="1" x14ac:dyDescent="0.25">
      <c r="A21" s="154" t="s">
        <v>346</v>
      </c>
      <c r="B21" s="150" t="s">
        <v>87</v>
      </c>
      <c r="C21" s="151" t="s">
        <v>349</v>
      </c>
      <c r="D21" s="152" t="str">
        <f ca="1">IF(TPM_SCORE!C6&gt;=1,"✅ YES","❌ No")</f>
        <v>✅ YES</v>
      </c>
      <c r="E21" s="153" t="str">
        <f ca="1">IF(TPM_SCORE!C6&gt;=1,"🟢 USE THIS","—")</f>
        <v>🟢 USE THIS</v>
      </c>
    </row>
    <row r="22" spans="1:5" ht="31.5" customHeight="1" x14ac:dyDescent="0.25">
      <c r="A22" s="154" t="s">
        <v>346</v>
      </c>
      <c r="B22" s="150" t="s">
        <v>125</v>
      </c>
      <c r="C22" s="151" t="s">
        <v>350</v>
      </c>
      <c r="D22" s="152" t="str">
        <f ca="1">IF(TPM_SCORE!C7&gt;=1,"✅ YES","❌ No")</f>
        <v>✅ YES</v>
      </c>
      <c r="E22" s="153" t="str">
        <f ca="1">IF(TPM_SCORE!C7&gt;=1,"🟢 USE THIS","—")</f>
        <v>🟢 USE THIS</v>
      </c>
    </row>
    <row r="23" spans="1:5" ht="31.5" customHeight="1" x14ac:dyDescent="0.25">
      <c r="A23" s="154" t="s">
        <v>346</v>
      </c>
      <c r="B23" s="150" t="s">
        <v>143</v>
      </c>
      <c r="C23" s="151" t="s">
        <v>351</v>
      </c>
      <c r="D23" s="152" t="str">
        <f ca="1">IF(TPM_SCORE!C8&gt;=1,"✅ YES","❌ No")</f>
        <v>✅ YES</v>
      </c>
      <c r="E23" s="153" t="str">
        <f ca="1">IF(TPM_SCORE!C8&gt;=1,"🟢 USE THIS","—")</f>
        <v>🟢 USE THIS</v>
      </c>
    </row>
    <row r="24" spans="1:5" ht="31.5" customHeight="1" x14ac:dyDescent="0.25">
      <c r="A24" s="154" t="s">
        <v>346</v>
      </c>
      <c r="B24" s="150" t="s">
        <v>144</v>
      </c>
      <c r="C24" s="151" t="s">
        <v>352</v>
      </c>
      <c r="D24" s="152" t="str">
        <f ca="1">IF(TPM_SCORE!C9&gt;=1,"✅ YES","❌ No")</f>
        <v>❌ No</v>
      </c>
      <c r="E24" s="153" t="str">
        <f ca="1">IF(TPM_SCORE!C9&gt;=1,"🟢 USE THIS","—")</f>
        <v>—</v>
      </c>
    </row>
    <row r="25" spans="1:5" ht="31.5" customHeight="1" x14ac:dyDescent="0.25">
      <c r="A25" s="154" t="s">
        <v>346</v>
      </c>
      <c r="B25" s="150" t="s">
        <v>145</v>
      </c>
      <c r="C25" s="151" t="s">
        <v>353</v>
      </c>
      <c r="D25" s="152" t="str">
        <f ca="1">IF(TPM_SCORE!C10&gt;=1,"✅ YES","❌ No")</f>
        <v>✅ YES</v>
      </c>
      <c r="E25" s="153" t="str">
        <f ca="1">IF(TPM_SCORE!C10&gt;=1,"🟢 USE THIS","—")</f>
        <v>🟢 USE THIS</v>
      </c>
    </row>
    <row r="26" spans="1:5" ht="31.5" customHeight="1" x14ac:dyDescent="0.25">
      <c r="A26" s="154" t="s">
        <v>346</v>
      </c>
      <c r="B26" s="150" t="s">
        <v>354</v>
      </c>
      <c r="C26" s="151" t="s">
        <v>355</v>
      </c>
      <c r="D26" s="152" t="str">
        <f ca="1">IF(TPM_SCORE!C11&gt;=1,"✅ YES","❌ No")</f>
        <v>❌ No</v>
      </c>
      <c r="E26" s="153" t="str">
        <f ca="1">IF(TPM_SCORE!C11&gt;=1,"🟢 USE THIS","—")</f>
        <v>—</v>
      </c>
    </row>
    <row r="27" spans="1:5" ht="31.5" customHeight="1" x14ac:dyDescent="0.25">
      <c r="A27" s="154" t="s">
        <v>346</v>
      </c>
      <c r="B27" s="150" t="s">
        <v>146</v>
      </c>
      <c r="C27" s="151" t="s">
        <v>356</v>
      </c>
      <c r="D27" s="152" t="str">
        <f ca="1">IF(TPM_SCORE!C12&gt;=1,"✅ YES","❌ No")</f>
        <v>❌ No</v>
      </c>
      <c r="E27" s="153" t="str">
        <f ca="1">IF(TPM_SCORE!C12&gt;=1,"🟢 USE THIS","—")</f>
        <v>—</v>
      </c>
    </row>
    <row r="28" spans="1:5" ht="31.5" customHeight="1" x14ac:dyDescent="0.25">
      <c r="A28" s="154" t="s">
        <v>346</v>
      </c>
      <c r="B28" s="150" t="s">
        <v>357</v>
      </c>
      <c r="C28" s="151" t="s">
        <v>358</v>
      </c>
      <c r="D28" s="152" t="str">
        <f ca="1">IF(TPM_SCORE!C13&gt;=1,"✅ YES","❌ No")</f>
        <v>✅ YES</v>
      </c>
      <c r="E28" s="153" t="str">
        <f ca="1">IF(TPM_SCORE!C13&gt;=1,"🟢 USE THIS","—")</f>
        <v>🟢 USE THIS</v>
      </c>
    </row>
    <row r="29" spans="1:5" ht="31.5" customHeight="1" x14ac:dyDescent="0.25">
      <c r="A29" s="154" t="s">
        <v>346</v>
      </c>
      <c r="B29" s="150" t="s">
        <v>147</v>
      </c>
      <c r="C29" s="151" t="s">
        <v>359</v>
      </c>
      <c r="D29" s="152" t="str">
        <f ca="1">IF(TPM_SCORE!C14&gt;=1,"✅ YES","❌ No")</f>
        <v>✅ YES</v>
      </c>
      <c r="E29" s="153" t="str">
        <f ca="1">IF(TPM_SCORE!C14&gt;=1,"🟢 USE THIS","—")</f>
        <v>🟢 USE THIS</v>
      </c>
    </row>
    <row r="30" spans="1:5" ht="31.5" customHeight="1" x14ac:dyDescent="0.25">
      <c r="A30" s="154" t="s">
        <v>346</v>
      </c>
      <c r="B30" s="150" t="s">
        <v>360</v>
      </c>
      <c r="C30" s="151" t="s">
        <v>361</v>
      </c>
      <c r="D30" s="152" t="str">
        <f ca="1">IF(TPM_SCORE!C15&gt;=1,"✅ YES","❌ No")</f>
        <v>❌ No</v>
      </c>
      <c r="E30" s="153" t="str">
        <f ca="1">IF(TPM_SCORE!C15&gt;=1,"🟢 USE THIS","—")</f>
        <v>—</v>
      </c>
    </row>
    <row r="31" spans="1:5" ht="31.5" customHeight="1" x14ac:dyDescent="0.25">
      <c r="A31" s="154" t="s">
        <v>346</v>
      </c>
      <c r="B31" s="150" t="s">
        <v>148</v>
      </c>
      <c r="C31" s="151" t="s">
        <v>362</v>
      </c>
      <c r="D31" s="152" t="str">
        <f ca="1">IF(TPM_SCORE!C16&gt;=1,"✅ YES","❌ No")</f>
        <v>❌ No</v>
      </c>
      <c r="E31" s="153" t="str">
        <f ca="1">IF(TPM_SCORE!C16&gt;=1,"🟢 USE THIS","—")</f>
        <v>—</v>
      </c>
    </row>
    <row r="32" spans="1:5" ht="31.5" customHeight="1" x14ac:dyDescent="0.25">
      <c r="A32" s="154" t="s">
        <v>346</v>
      </c>
      <c r="B32" s="150" t="s">
        <v>363</v>
      </c>
      <c r="C32" s="151" t="s">
        <v>364</v>
      </c>
      <c r="D32" s="152" t="str">
        <f ca="1">IF(TPM_SCORE!C17&gt;=1,"✅ YES","❌ No")</f>
        <v>✅ YES</v>
      </c>
      <c r="E32" s="153" t="str">
        <f ca="1">IF(TPM_SCORE!C17&gt;=1,"🟢 USE THIS","—")</f>
        <v>🟢 USE THIS</v>
      </c>
    </row>
    <row r="33" spans="1:5" ht="31.5" customHeight="1" x14ac:dyDescent="0.25">
      <c r="A33" s="154" t="s">
        <v>346</v>
      </c>
      <c r="B33" s="150" t="s">
        <v>150</v>
      </c>
      <c r="C33" s="151" t="s">
        <v>365</v>
      </c>
      <c r="D33" s="152" t="str">
        <f ca="1">IF(TPM_SCORE!C18&gt;=1,"✅ YES","❌ No")</f>
        <v>❌ No</v>
      </c>
      <c r="E33" s="153" t="str">
        <f ca="1">IF(TPM_SCORE!C18&gt;=1,"🟢 USE THIS","—")</f>
        <v>—</v>
      </c>
    </row>
    <row r="34" spans="1:5" ht="31.5" customHeight="1" x14ac:dyDescent="0.25">
      <c r="A34" s="155" t="s">
        <v>366</v>
      </c>
      <c r="B34" s="150" t="s">
        <v>155</v>
      </c>
      <c r="C34" s="151" t="s">
        <v>367</v>
      </c>
      <c r="D34" s="152" t="str">
        <f ca="1">IF(ITDM_SCORE!C4&gt;=1,"✅ YES","❌ No")</f>
        <v>❌ No</v>
      </c>
      <c r="E34" s="153" t="str">
        <f ca="1">IF(ITDM_SCORE!C4&gt;=1,"🟢 USE THIS","—")</f>
        <v>—</v>
      </c>
    </row>
    <row r="35" spans="1:5" ht="31.5" customHeight="1" x14ac:dyDescent="0.25">
      <c r="A35" s="155" t="s">
        <v>366</v>
      </c>
      <c r="B35" s="150" t="s">
        <v>156</v>
      </c>
      <c r="C35" s="151" t="s">
        <v>368</v>
      </c>
      <c r="D35" s="152" t="str">
        <f ca="1">IF(ITDM_SCORE!C5&gt;=1,"✅ YES","❌ No")</f>
        <v>❌ No</v>
      </c>
      <c r="E35" s="153" t="str">
        <f ca="1">IF(ITDM_SCORE!C5&gt;=1,"🟢 USE THIS","—")</f>
        <v>—</v>
      </c>
    </row>
    <row r="36" spans="1:5" ht="31.5" customHeight="1" x14ac:dyDescent="0.25">
      <c r="A36" s="155" t="s">
        <v>366</v>
      </c>
      <c r="B36" s="150" t="s">
        <v>157</v>
      </c>
      <c r="C36" s="151" t="s">
        <v>369</v>
      </c>
      <c r="D36" s="152" t="str">
        <f ca="1">IF(ITDM_SCORE!C6&gt;=1,"✅ YES","❌ No")</f>
        <v>✅ YES</v>
      </c>
      <c r="E36" s="153" t="str">
        <f ca="1">IF(ITDM_SCORE!C6&gt;=1,"🟢 USE THIS","—")</f>
        <v>🟢 USE THIS</v>
      </c>
    </row>
    <row r="37" spans="1:5" ht="31.5" customHeight="1" x14ac:dyDescent="0.25">
      <c r="A37" s="155" t="s">
        <v>366</v>
      </c>
      <c r="B37" s="150" t="s">
        <v>158</v>
      </c>
      <c r="C37" s="151" t="s">
        <v>370</v>
      </c>
      <c r="D37" s="152" t="str">
        <f ca="1">IF(ITDM_SCORE!C7&gt;=1,"✅ YES","❌ No")</f>
        <v>❌ No</v>
      </c>
      <c r="E37" s="153" t="str">
        <f ca="1">IF(ITDM_SCORE!C7&gt;=1,"🟢 USE THIS","—")</f>
        <v>—</v>
      </c>
    </row>
    <row r="38" spans="1:5" ht="31.5" customHeight="1" x14ac:dyDescent="0.25">
      <c r="A38" s="155" t="s">
        <v>366</v>
      </c>
      <c r="B38" s="150" t="s">
        <v>159</v>
      </c>
      <c r="C38" s="151" t="s">
        <v>371</v>
      </c>
      <c r="D38" s="152" t="str">
        <f ca="1">IF(ITDM_SCORE!C8&gt;=1,"✅ YES","❌ No")</f>
        <v>❌ No</v>
      </c>
      <c r="E38" s="153" t="str">
        <f ca="1">IF(ITDM_SCORE!C8&gt;=1,"🟢 USE THIS","—")</f>
        <v>—</v>
      </c>
    </row>
    <row r="39" spans="1:5" ht="31.5" customHeight="1" x14ac:dyDescent="0.25">
      <c r="A39" s="155" t="s">
        <v>366</v>
      </c>
      <c r="B39" s="150" t="s">
        <v>372</v>
      </c>
      <c r="C39" s="151" t="s">
        <v>373</v>
      </c>
      <c r="D39" s="152" t="str">
        <f ca="1">IF(ITDM_SCORE!C9&gt;=1,"✅ YES","❌ No")</f>
        <v>❌ No</v>
      </c>
      <c r="E39" s="153" t="str">
        <f ca="1">IF(ITDM_SCORE!C9&gt;=1,"🟢 USE THIS","—")</f>
        <v>—</v>
      </c>
    </row>
    <row r="40" spans="1:5" ht="31.5" customHeight="1" x14ac:dyDescent="0.25">
      <c r="A40" s="155" t="s">
        <v>366</v>
      </c>
      <c r="B40" s="150" t="s">
        <v>146</v>
      </c>
      <c r="C40" s="151" t="s">
        <v>374</v>
      </c>
      <c r="D40" s="152" t="str">
        <f ca="1">IF(ITDM_SCORE!C10&gt;=1,"✅ YES","❌ No")</f>
        <v>❌ No</v>
      </c>
      <c r="E40" s="153" t="str">
        <f ca="1">IF(ITDM_SCORE!C10&gt;=1,"🟢 USE THIS","—")</f>
        <v>—</v>
      </c>
    </row>
    <row r="41" spans="1:5" ht="31.5" customHeight="1" x14ac:dyDescent="0.25">
      <c r="A41" s="155" t="s">
        <v>366</v>
      </c>
      <c r="B41" s="150" t="s">
        <v>160</v>
      </c>
      <c r="C41" s="151" t="s">
        <v>375</v>
      </c>
      <c r="D41" s="152" t="str">
        <f ca="1">IF(ITDM_SCORE!C11&gt;=1,"✅ YES","❌ No")</f>
        <v>❌ No</v>
      </c>
      <c r="E41" s="153" t="str">
        <f ca="1">IF(ITDM_SCORE!C11&gt;=1,"🟢 USE THIS","—")</f>
        <v>—</v>
      </c>
    </row>
    <row r="42" spans="1:5" ht="31.5" customHeight="1" x14ac:dyDescent="0.25">
      <c r="A42" s="155" t="s">
        <v>366</v>
      </c>
      <c r="B42" s="150" t="s">
        <v>161</v>
      </c>
      <c r="C42" s="151" t="s">
        <v>376</v>
      </c>
      <c r="D42" s="152" t="str">
        <f ca="1">IF(ITDM_SCORE!C12&gt;=1,"✅ YES","❌ No")</f>
        <v>❌ No</v>
      </c>
      <c r="E42" s="153" t="str">
        <f ca="1">IF(ITDM_SCORE!C12&gt;=1,"🟢 USE THIS","—")</f>
        <v>—</v>
      </c>
    </row>
    <row r="43" spans="1:5" ht="31.5" customHeight="1" x14ac:dyDescent="0.25">
      <c r="A43" s="155" t="s">
        <v>366</v>
      </c>
      <c r="B43" s="150" t="s">
        <v>162</v>
      </c>
      <c r="C43" s="151" t="s">
        <v>377</v>
      </c>
      <c r="D43" s="152" t="str">
        <f ca="1">IF(ITDM_SCORE!C13&gt;=1,"✅ YES","❌ No")</f>
        <v>❌ No</v>
      </c>
      <c r="E43" s="153" t="str">
        <f ca="1">IF(ITDM_SCORE!C13&gt;=1,"🟢 USE THIS","—")</f>
        <v>—</v>
      </c>
    </row>
    <row r="44" spans="1:5" ht="31.5" customHeight="1" x14ac:dyDescent="0.25">
      <c r="A44" s="155" t="s">
        <v>366</v>
      </c>
      <c r="B44" s="150" t="s">
        <v>163</v>
      </c>
      <c r="C44" s="151" t="s">
        <v>378</v>
      </c>
      <c r="D44" s="152" t="str">
        <f ca="1">IF(ITDM_SCORE!C14&gt;=1,"✅ YES","❌ No")</f>
        <v>❌ No</v>
      </c>
      <c r="E44" s="153" t="str">
        <f ca="1">IF(ITDM_SCORE!C14&gt;=1,"🟢 USE THIS","—")</f>
        <v>—</v>
      </c>
    </row>
    <row r="45" spans="1:5" ht="31.5" customHeight="1" x14ac:dyDescent="0.25">
      <c r="A45" s="155" t="s">
        <v>366</v>
      </c>
      <c r="B45" s="150" t="s">
        <v>164</v>
      </c>
      <c r="C45" s="151" t="s">
        <v>379</v>
      </c>
      <c r="D45" s="152" t="str">
        <f ca="1">IF(ITDM_SCORE!C15&gt;=1,"✅ YES","❌ No")</f>
        <v>✅ YES</v>
      </c>
      <c r="E45" s="153" t="str">
        <f ca="1">IF(ITDM_SCORE!C15&gt;=1,"🟢 USE THIS","—")</f>
        <v>🟢 USE THIS</v>
      </c>
    </row>
    <row r="46" spans="1:5" ht="31.5" customHeight="1" x14ac:dyDescent="0.25">
      <c r="A46" s="155" t="s">
        <v>366</v>
      </c>
      <c r="B46" s="150" t="s">
        <v>380</v>
      </c>
      <c r="C46" s="151" t="s">
        <v>381</v>
      </c>
      <c r="D46" s="152" t="str">
        <f ca="1">IF(ITDM_SCORE!C16&gt;=1,"✅ YES","❌ No")</f>
        <v>❌ No</v>
      </c>
      <c r="E46" s="153" t="str">
        <f ca="1">IF(ITDM_SCORE!C16&gt;=1,"🟢 USE THIS","—")</f>
        <v>—</v>
      </c>
    </row>
    <row r="47" spans="1:5" ht="31.5" customHeight="1" x14ac:dyDescent="0.25">
      <c r="A47" s="155" t="s">
        <v>366</v>
      </c>
      <c r="B47" s="150" t="s">
        <v>382</v>
      </c>
      <c r="C47" s="151" t="s">
        <v>383</v>
      </c>
      <c r="D47" s="152" t="str">
        <f ca="1">IF(ITDM_SCORE!C17&gt;=1,"✅ YES","❌ No")</f>
        <v>✅ YES</v>
      </c>
      <c r="E47" s="153" t="str">
        <f ca="1">IF(ITDM_SCORE!C17&gt;=1,"🟢 USE THIS","—")</f>
        <v>🟢 USE THIS</v>
      </c>
    </row>
    <row r="48" spans="1:5" ht="31.5" customHeight="1" x14ac:dyDescent="0.25">
      <c r="A48" s="155" t="s">
        <v>366</v>
      </c>
      <c r="B48" s="150" t="s">
        <v>166</v>
      </c>
      <c r="C48" s="151" t="s">
        <v>384</v>
      </c>
      <c r="D48" s="152" t="str">
        <f ca="1">IF(ITDM_SCORE!C18&gt;=1,"✅ YES","❌ No")</f>
        <v>❌ No</v>
      </c>
      <c r="E48" s="153" t="str">
        <f ca="1">IF(ITDM_SCORE!C18&gt;=1,"🟢 USE THIS","—")</f>
        <v>—</v>
      </c>
    </row>
    <row r="49" spans="1:5" ht="31.5" customHeight="1" x14ac:dyDescent="0.25">
      <c r="A49" s="156" t="s">
        <v>385</v>
      </c>
      <c r="B49" s="157" t="s">
        <v>171</v>
      </c>
      <c r="C49" s="158" t="s">
        <v>386</v>
      </c>
      <c r="D49" s="159" t="str">
        <f ca="1">IF(PM_SCORE!C4&gt;=1,"✅ YES","❌ No")</f>
        <v>❌ No</v>
      </c>
      <c r="E49" s="160" t="str">
        <f ca="1">IF(PM_SCORE!C4&gt;=1,"🟢 USE THIS","—")</f>
        <v>—</v>
      </c>
    </row>
    <row r="50" spans="1:5" ht="31.5" customHeight="1" x14ac:dyDescent="0.25">
      <c r="A50" s="156" t="s">
        <v>385</v>
      </c>
      <c r="B50" s="157" t="s">
        <v>172</v>
      </c>
      <c r="C50" s="158" t="s">
        <v>387</v>
      </c>
      <c r="D50" s="159" t="str">
        <f ca="1">IF(PM_SCORE!C5&gt;=1,"✅ YES","❌ No")</f>
        <v>❌ No</v>
      </c>
      <c r="E50" s="160" t="str">
        <f ca="1">IF(PM_SCORE!C5&gt;=1,"🟢 USE THIS","—")</f>
        <v>—</v>
      </c>
    </row>
    <row r="51" spans="1:5" ht="31.5" customHeight="1" x14ac:dyDescent="0.25">
      <c r="A51" s="156" t="s">
        <v>385</v>
      </c>
      <c r="B51" s="157" t="s">
        <v>173</v>
      </c>
      <c r="C51" s="158" t="s">
        <v>388</v>
      </c>
      <c r="D51" s="159" t="str">
        <f ca="1">IF(PM_SCORE!C6&gt;=1,"✅ YES","❌ No")</f>
        <v>✅ YES</v>
      </c>
      <c r="E51" s="160" t="str">
        <f ca="1">IF(PM_SCORE!C6&gt;=1,"🟢 USE THIS","—")</f>
        <v>🟢 USE THIS</v>
      </c>
    </row>
    <row r="52" spans="1:5" ht="31.5" customHeight="1" x14ac:dyDescent="0.25">
      <c r="A52" s="156" t="s">
        <v>385</v>
      </c>
      <c r="B52" s="157" t="s">
        <v>174</v>
      </c>
      <c r="C52" s="158" t="s">
        <v>389</v>
      </c>
      <c r="D52" s="159" t="str">
        <f ca="1">IF(PM_SCORE!C7&gt;=1,"✅ YES","❌ No")</f>
        <v>❌ No</v>
      </c>
      <c r="E52" s="160" t="str">
        <f ca="1">IF(PM_SCORE!C7&gt;=1,"🟢 USE THIS","—")</f>
        <v>—</v>
      </c>
    </row>
    <row r="53" spans="1:5" ht="31.5" customHeight="1" x14ac:dyDescent="0.25">
      <c r="A53" s="156" t="s">
        <v>385</v>
      </c>
      <c r="B53" s="157" t="s">
        <v>175</v>
      </c>
      <c r="C53" s="158" t="s">
        <v>390</v>
      </c>
      <c r="D53" s="159" t="str">
        <f ca="1">IF(PM_SCORE!C8&gt;=1,"✅ YES","❌ No")</f>
        <v>❌ No</v>
      </c>
      <c r="E53" s="160" t="str">
        <f ca="1">IF(PM_SCORE!C8&gt;=1,"🟢 USE THIS","—")</f>
        <v>—</v>
      </c>
    </row>
    <row r="54" spans="1:5" ht="31.5" customHeight="1" x14ac:dyDescent="0.25">
      <c r="A54" s="156" t="s">
        <v>385</v>
      </c>
      <c r="B54" s="157" t="s">
        <v>176</v>
      </c>
      <c r="C54" s="158" t="s">
        <v>391</v>
      </c>
      <c r="D54" s="159" t="str">
        <f ca="1">IF(PM_SCORE!C9&gt;=1,"✅ YES","❌ No")</f>
        <v>❌ No</v>
      </c>
      <c r="E54" s="160" t="str">
        <f ca="1">IF(PM_SCORE!C9&gt;=1,"🟢 USE THIS","—")</f>
        <v>—</v>
      </c>
    </row>
    <row r="55" spans="1:5" ht="31.5" customHeight="1" x14ac:dyDescent="0.25">
      <c r="A55" s="156" t="s">
        <v>385</v>
      </c>
      <c r="B55" s="157" t="s">
        <v>177</v>
      </c>
      <c r="C55" s="158" t="s">
        <v>392</v>
      </c>
      <c r="D55" s="159" t="str">
        <f ca="1">IF(PM_SCORE!C10&gt;=1,"✅ YES","❌ No")</f>
        <v>❌ No</v>
      </c>
      <c r="E55" s="160" t="str">
        <f ca="1">IF(PM_SCORE!C10&gt;=1,"🟢 USE THIS","—")</f>
        <v>—</v>
      </c>
    </row>
    <row r="56" spans="1:5" ht="31.5" customHeight="1" x14ac:dyDescent="0.25">
      <c r="A56" s="156" t="s">
        <v>385</v>
      </c>
      <c r="B56" s="157" t="s">
        <v>178</v>
      </c>
      <c r="C56" s="158" t="s">
        <v>393</v>
      </c>
      <c r="D56" s="159" t="str">
        <f ca="1">IF(PM_SCORE!C11&gt;=1,"✅ YES","❌ No")</f>
        <v>❌ No</v>
      </c>
      <c r="E56" s="160" t="str">
        <f ca="1">IF(PM_SCORE!C11&gt;=1,"🟢 USE THIS","—")</f>
        <v>—</v>
      </c>
    </row>
    <row r="57" spans="1:5" ht="31.5" customHeight="1" x14ac:dyDescent="0.25">
      <c r="A57" s="156" t="s">
        <v>385</v>
      </c>
      <c r="B57" s="157" t="s">
        <v>277</v>
      </c>
      <c r="C57" s="158" t="s">
        <v>394</v>
      </c>
      <c r="D57" s="159" t="str">
        <f ca="1">IF(PM_SCORE!C12&gt;=1,"✅ YES","❌ No")</f>
        <v>✅ YES</v>
      </c>
      <c r="E57" s="160" t="str">
        <f ca="1">IF(PM_SCORE!C12&gt;=1,"🟢 USE THIS","—")</f>
        <v>🟢 USE THIS</v>
      </c>
    </row>
    <row r="58" spans="1:5" ht="31.5" customHeight="1" x14ac:dyDescent="0.25">
      <c r="A58" s="156" t="s">
        <v>385</v>
      </c>
      <c r="B58" s="157" t="s">
        <v>279</v>
      </c>
      <c r="C58" s="158" t="s">
        <v>395</v>
      </c>
      <c r="D58" s="159" t="str">
        <f ca="1">IF(PM_SCORE!C13&gt;=1,"✅ YES","❌ No")</f>
        <v>❌ No</v>
      </c>
      <c r="E58" s="160" t="str">
        <f ca="1">IF(PM_SCORE!C13&gt;=1,"🟢 USE THIS","—")</f>
        <v>—</v>
      </c>
    </row>
    <row r="59" spans="1:5" ht="31.5" customHeight="1" x14ac:dyDescent="0.25">
      <c r="A59" s="156" t="s">
        <v>385</v>
      </c>
      <c r="B59" s="157" t="s">
        <v>281</v>
      </c>
      <c r="C59" s="158" t="s">
        <v>396</v>
      </c>
      <c r="D59" s="159" t="str">
        <f ca="1">IF(PM_SCORE!C14&gt;=1,"✅ YES","❌ No")</f>
        <v>✅ YES</v>
      </c>
      <c r="E59" s="160" t="str">
        <f ca="1">IF(PM_SCORE!C14&gt;=1,"🟢 USE THIS","—")</f>
        <v>🟢 USE THIS</v>
      </c>
    </row>
    <row r="60" spans="1:5" ht="31.5" customHeight="1" x14ac:dyDescent="0.25">
      <c r="A60" s="156" t="s">
        <v>385</v>
      </c>
      <c r="B60" s="157" t="s">
        <v>182</v>
      </c>
      <c r="C60" s="158" t="s">
        <v>397</v>
      </c>
      <c r="D60" s="159" t="str">
        <f ca="1">IF(PM_SCORE!C15&gt;=1,"✅ YES","❌ No")</f>
        <v>❌ No</v>
      </c>
      <c r="E60" s="160" t="str">
        <f ca="1">IF(PM_SCORE!C15&gt;=1,"🟢 USE THIS","—")</f>
        <v>—</v>
      </c>
    </row>
    <row r="61" spans="1:5" ht="31.5" customHeight="1" x14ac:dyDescent="0.25">
      <c r="A61" s="156" t="s">
        <v>385</v>
      </c>
      <c r="B61" s="157" t="s">
        <v>183</v>
      </c>
      <c r="C61" s="158" t="s">
        <v>398</v>
      </c>
      <c r="D61" s="159" t="str">
        <f ca="1">IF(PM_SCORE!C16&gt;=1,"✅ YES","❌ No")</f>
        <v>❌ No</v>
      </c>
      <c r="E61" s="160" t="str">
        <f ca="1">IF(PM_SCORE!C16&gt;=1,"🟢 USE THIS","—")</f>
        <v>—</v>
      </c>
    </row>
    <row r="62" spans="1:5" ht="31.5" customHeight="1" x14ac:dyDescent="0.25">
      <c r="A62" s="156" t="s">
        <v>385</v>
      </c>
      <c r="B62" s="157" t="s">
        <v>285</v>
      </c>
      <c r="C62" s="158" t="s">
        <v>399</v>
      </c>
      <c r="D62" s="159" t="str">
        <f ca="1">IF(PM_SCORE!C17&gt;=1,"✅ YES","❌ No")</f>
        <v>✅ YES</v>
      </c>
      <c r="E62" s="160" t="str">
        <f ca="1">IF(PM_SCORE!C17&gt;=1,"🟢 USE THIS","—")</f>
        <v>🟢 USE THIS</v>
      </c>
    </row>
    <row r="63" spans="1:5" ht="31.5" customHeight="1" x14ac:dyDescent="0.25">
      <c r="A63" s="156" t="s">
        <v>385</v>
      </c>
      <c r="B63" s="157" t="s">
        <v>185</v>
      </c>
      <c r="C63" s="158" t="s">
        <v>400</v>
      </c>
      <c r="D63" s="159" t="str">
        <f ca="1">IF(PM_SCORE!C18&gt;=1,"✅ YES","❌ No")</f>
        <v>✅ YES</v>
      </c>
      <c r="E63" s="160" t="str">
        <f ca="1">IF(PM_SCORE!C18&gt;=1,"🟢 USE THIS","—")</f>
        <v>🟢 USE THIS</v>
      </c>
    </row>
    <row r="65" spans="1:5" ht="24" customHeight="1" x14ac:dyDescent="0.25">
      <c r="A65" s="161" t="s">
        <v>401</v>
      </c>
      <c r="B65" s="224" t="str">
        <f ca="1">COUNTIF(E4:E63,"🟢 USE THIS")&amp;" bullets are green-flagged and ready to copy into your resume (out of 60 total)."</f>
        <v>20 bullets are green-flagged and ready to copy into your resume (out of 60 total).</v>
      </c>
      <c r="C65" s="165"/>
      <c r="D65" s="162" t="str">
        <f>IF(LEN(JD_INPUT!B10)&lt;50,"⏳ Waiting","✅ Ready")</f>
        <v>✅ Ready</v>
      </c>
      <c r="E65" s="163" t="str">
        <f ca="1">JD_INPUT!B25</f>
        <v>Technical Program Manager</v>
      </c>
    </row>
  </sheetData>
  <mergeCells count="3">
    <mergeCell ref="A1:E1"/>
    <mergeCell ref="A2:E2"/>
    <mergeCell ref="B65:C65"/>
  </mergeCells>
  <conditionalFormatting sqref="E4:E48">
    <cfRule type="containsText" dxfId="1" priority="1" operator="containsText" text="—">
      <formula>NOT(ISERROR(SEARCH("—",E4)))</formula>
    </cfRule>
    <cfRule type="containsText" dxfId="0" priority="2" operator="containsText" text="🟢">
      <formula>NOT(ISERROR(SEARCH("🟢",E4)))</formula>
    </cfRule>
  </conditionalFormatting>
  <pageMargins left="0.7" right="0.7" top="0.75" bottom="0.75" header="0.3" footer="0.3"/>
  <pageSetup orientation="portrait"/>
  <headerFooter>
    <oddHeader>&amp;L&amp;C&amp;R</oddHeader>
    <oddFooter>&amp;L&amp;C&amp;R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OVERVIEW</vt:lpstr>
      <vt:lpstr>JD_INPUT</vt:lpstr>
      <vt:lpstr>AI_SCORE</vt:lpstr>
      <vt:lpstr>TPM_SCORE</vt:lpstr>
      <vt:lpstr>ITDM_SCORE</vt:lpstr>
      <vt:lpstr>PM_SCORE</vt:lpstr>
      <vt:lpstr>KEYWORDS</vt:lpstr>
      <vt:lpstr>FINAL_RECOMMENDATION</vt:lpstr>
      <vt:lpstr>BULLET_GENERATOR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harikiran chirala</cp:lastModifiedBy>
  <dcterms:created xsi:type="dcterms:W3CDTF">2026-06-16T08:07:14Z</dcterms:created>
  <dcterms:modified xsi:type="dcterms:W3CDTF">2026-09-06T16:49:28Z</dcterms:modified>
</cp:coreProperties>
</file>